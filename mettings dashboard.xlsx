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D:\data analisys\intern\task 1\"/>
    </mc:Choice>
  </mc:AlternateContent>
  <xr:revisionPtr revIDLastSave="0" documentId="13_ncr:1_{E5EC228A-F3FA-4BF0-84A1-07E276A23C80}" xr6:coauthVersionLast="47" xr6:coauthVersionMax="47" xr10:uidLastSave="{00000000-0000-0000-0000-000000000000}"/>
  <bookViews>
    <workbookView xWindow="-110" yWindow="-110" windowWidth="19420" windowHeight="10300" tabRatio="860" activeTab="6" xr2:uid="{00000000-000D-0000-FFFF-FFFF00000000}"/>
  </bookViews>
  <sheets>
    <sheet name="عدد التوصيات حسب الادارة" sheetId="13" r:id="rId1"/>
    <sheet name="التوصيات حسب الحالة" sheetId="12" r:id="rId2"/>
    <sheet name="عدد التوصيات حسب الاولوية" sheetId="14" r:id="rId3"/>
    <sheet name="نسبة الاكمال" sheetId="16" r:id="rId4"/>
    <sheet name="الخط الزمني" sheetId="17" r:id="rId5"/>
    <sheet name="البيانات" sheetId="1" r:id="rId6"/>
    <sheet name="Dashboard" sheetId="15" r:id="rId7"/>
    <sheet name="Sheet2" sheetId="2" state="hidden" r:id="rId8"/>
  </sheets>
  <definedNames>
    <definedName name="_xlnm._FilterDatabase" localSheetId="5" hidden="1">البيانات!$B$3:$H$68</definedName>
    <definedName name="NativeTimeline_تاريخ_التنفيذ">#N/A</definedName>
    <definedName name="_xlnm.Print_Area" localSheetId="6">Dashboard!$B$2:$R$35</definedName>
    <definedName name="Slicer_الادارات">#N/A</definedName>
    <definedName name="Slicer_الحالة">#N/A</definedName>
    <definedName name="Table3">البيانات!$B$4:$P$68</definedName>
    <definedName name="البيانات">Table5[]</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3" i="15" l="1"/>
  <c r="C3" i="15"/>
  <c r="K3" i="15"/>
  <c r="H3" i="15"/>
  <c r="E3"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C80B0A-A633-4EB4-83A4-50C044A7F302}" keepAlive="1" name="Query - Table3" description="Connection to the 'Table3' query in the workbook." type="5" refreshedVersion="0" background="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<sst xmlns="http://schemas.openxmlformats.org/spreadsheetml/2006/main" count="520" uniqueCount="180">
  <si>
    <t xml:space="preserve">تاريخ الاجتماع هجرى </t>
  </si>
  <si>
    <t xml:space="preserve">تاريخ الاجتماع ميلادى </t>
  </si>
  <si>
    <t>اجندة الاجتماع</t>
  </si>
  <si>
    <t>الإدارة</t>
  </si>
  <si>
    <t>رقم التوصية</t>
  </si>
  <si>
    <t>نص التوصية</t>
  </si>
  <si>
    <t>الهدف</t>
  </si>
  <si>
    <t xml:space="preserve"> 21/03/1443</t>
  </si>
  <si>
    <t>27/10/2021</t>
  </si>
  <si>
    <t>استعراض ومناقشة القوائم الماليه الموحدة حتى 30-09-2021 م</t>
  </si>
  <si>
    <t>استعراض ومناقشة تقرير أداء المشاريع حتى   30-09-2021 م</t>
  </si>
  <si>
    <t>استعراض ومناقشة تقرير أداء الوحدات الإنتاجية ومصنع سبك للمنتجات الاسمنتية حتى    30-09-2021 م</t>
  </si>
  <si>
    <t>أمانة المجلس</t>
  </si>
  <si>
    <t>تحديد مواعيد الاجتماعات مسبقًا وفق خطة معتمدة من المجلس.</t>
  </si>
  <si>
    <t>ضمان انتظام الاجتماعات وتحقيق متابعة مستمرة لأعمال المجلس.</t>
  </si>
  <si>
    <t>توثيق محاضر الاجتماعات ومشاركتها مع الأعضاء خلال أسبوع من تاريخ الاجتماع.</t>
  </si>
  <si>
    <t>تعزيز الشفافية وتمكين الأعضاء من متابعة القرارات.</t>
  </si>
  <si>
    <t>إعداد جدول أعمال واضح ومحدد لكل اجتماع مع توزيعه مسبقًا.</t>
  </si>
  <si>
    <t>رفع كفاءة الاجتماعات وزيادة فاعلية النقاش واتخاذ القرار.</t>
  </si>
  <si>
    <t>متابعة تنفيذ قرارات المجلس وتقديم تقارير دورية عن التقدم المحقق.</t>
  </si>
  <si>
    <t>ضمان الالتزام بتنفيذ القرارات وتحقيق أهداف المجلس.</t>
  </si>
  <si>
    <t>إنشاء قاعدة بيانات للقرارات السابقة للمجلس وأرشفتها إلكترونيًا.</t>
  </si>
  <si>
    <t>تسهيل الرجوع للقرارات السابقة وتعزيز الحوكمة المؤسسية.</t>
  </si>
  <si>
    <t>تحديد مسؤوليات الأمانة العامة بدقة وفقًا للوائح المنظمة.</t>
  </si>
  <si>
    <t>تنظيم العمل الداخلي وتحقيق الكفاءة في تنفيذ المهام.</t>
  </si>
  <si>
    <t>إعداد تقارير سنوية عن أداء المجلس وأنشطته المختلفة.</t>
  </si>
  <si>
    <t>تقييم الأداء السنوي وتحسين جودة عمل المجلس.</t>
  </si>
  <si>
    <t>تطوير أدوات تواصل فعّالة بين الأمانة العامة وأعضاء المجلس.</t>
  </si>
  <si>
    <t>تحسين التواصل وسرعة تمرير المعلومات بين الأمانة والأعضاء.</t>
  </si>
  <si>
    <t>تنظيم ورش عمل تعريفية للأعضاء الجدد بالمجلس واختصاصاته.</t>
  </si>
  <si>
    <t>رفع مستوى جاهزية الأعضاء الجدد وضمان مساهمتهم الفاعلة.</t>
  </si>
  <si>
    <t>اعتماد سياسات لحفظ وأرشفة مستندات المجلس الهامة.</t>
  </si>
  <si>
    <t>حماية المعلومات وضمان سريتها وسهولة الوصول إليها عند الحاجة.</t>
  </si>
  <si>
    <t>الحرص على عقد الاجتماعات الدورية للمجلس كل ربع سنة</t>
  </si>
  <si>
    <t>ضمان انتظام انعقاد اجتماعات المجلس لمتابعة الأعمال واتخاذ القرارات في الوقت المناسب.</t>
  </si>
  <si>
    <t>المالية</t>
  </si>
  <si>
    <t>العمل على فصل القروض بما يخص نشاط المقاولات عن الأنشطة الأخرى</t>
  </si>
  <si>
    <t>تحسين دقة التحليل المالي بتمييز قروض المقاولات عن بقية الأنشطة.</t>
  </si>
  <si>
    <t>ضرورة إرسال ملف التقارير التي سيتم عرضها على المجلس قبل أسبوع من الاجتماع</t>
  </si>
  <si>
    <t>تمكين أعضاء المجلس من الاطلاع المسبق والاستعداد للنقاش واتخاذ القرار السليم.</t>
  </si>
  <si>
    <t>التأكيد على استخدام أرقام المقارنة بما يتناسب مع فترة التقرير للسنة السابقة والحالية</t>
  </si>
  <si>
    <t>دعم تقييم الأداء المالي وتحليل التغيرات بمرجعية مقارنة دقيقة.</t>
  </si>
  <si>
    <t>إدارة المعدات</t>
  </si>
  <si>
    <t>تقديم تقرير يوضح المعدات المستخدمة وغير المستخدمة والمعطلة</t>
  </si>
  <si>
    <t>تحسين استغلال المعدات وتقليل الأعطال وتعزيز كفاءة التشغيل.</t>
  </si>
  <si>
    <t>التنبيه لعدم بيع أي معدة يمكن إصلاحها</t>
  </si>
  <si>
    <t>الحفاظ على أصول الشركة وتقليل الهدر المالي.</t>
  </si>
  <si>
    <t>إدارة المستودعات</t>
  </si>
  <si>
    <t>إعداد تقرير بالمخزون الراكد وتفعيل دور إدارة المستودعات</t>
  </si>
  <si>
    <t>تحسين إدارة الأصول وزيادة كفاءة استخدام المخزون.</t>
  </si>
  <si>
    <t>مدراء المناطق</t>
  </si>
  <si>
    <t>اطلاع مدير المنطقة الغربية على تقرير لجنة المراجعة الداخلية وتقديم التوصيات</t>
  </si>
  <si>
    <t>ضمان الرقابة الداخلية الجيدة وتحسين العمليات استنادًا إلى نتائج المراجعة.</t>
  </si>
  <si>
    <t>1- الافتتاح وكلمة رئيس مجلس الإدارة.</t>
  </si>
  <si>
    <t>إنشاء إدارة مركزية للخزينة وتحميل تكلفة التمويل بحسب الجهة المستفيدة</t>
  </si>
  <si>
    <t>تعزيز الكفاءة المالية وتحقيق توزيع عادل لتكاليف التمويل.</t>
  </si>
  <si>
    <t>2- الاطلاع على القوائم المالية للشركة عن الفترة (2022/01/01 – 2022/01/31).</t>
  </si>
  <si>
    <t>التأكيد على إصدار القوائم المالية المدققة لسنة 2021 بموعد أقصاه فبراير 2022</t>
  </si>
  <si>
    <t>الالتزام بالمعايير المالية وضمان الشفافية والمصداقية في التقارير المالية.</t>
  </si>
  <si>
    <t>3- الاطلاع على الأداء الفني للمشاريع عن الفترة (2022/01/01 – 2022/03/31).</t>
  </si>
  <si>
    <t>إدارة المشاريع</t>
  </si>
  <si>
    <t>تطوير تقرير المشاريع ليشمل مدة المشروع الإجمالية والمتبقية وشمولية جميع العقود</t>
  </si>
  <si>
    <t>تحسين متابعة تنفيذ المشاريع وضمان شمولية التقارير للمشاريع كافة.</t>
  </si>
  <si>
    <t>4- الاطلاع على تقرير لجنة المراجعة عن الوحدات الإنتاجية.</t>
  </si>
  <si>
    <t>تطوير الأعمال</t>
  </si>
  <si>
    <t>الدخول في تحالفات مختارة للتعاقد على مشاريع متميزة</t>
  </si>
  <si>
    <t>توسيع قاعدة المشاريع وتعزيز التنافسية والدخول في مشاريع ذات قيمة عالية.</t>
  </si>
  <si>
    <t>5- ما يستجد من أعمال.</t>
  </si>
  <si>
    <t>تجهيز الشركة للدخول في مشاريع الصيانة والاهتمام بها</t>
  </si>
  <si>
    <t>تنويع مصادر الدخل واستغلال الفرص المتاحة في مجال الصيانة.</t>
  </si>
  <si>
    <t>التنسيق لإنهاء مشروع وعد الشمال في موعده</t>
  </si>
  <si>
    <t>الالتزام بجدول تسليم المشاريع وتفادي أي تأخير محتمل.</t>
  </si>
  <si>
    <t>استهداف مشاريع بالمنطقة الغربية بقيمة 250-300 مليون ريال لعام 2021 و700 مليون لعام 2022</t>
  </si>
  <si>
    <t>رفع حجم المشاريع والإيرادات عبر أهداف توسعية مدروسة.</t>
  </si>
  <si>
    <t>دراسة تطبيق سياسة إهلاك خطوط الإنتاج بناءً على ساعات التشغيل الفعلية</t>
  </si>
  <si>
    <t>تحقيق دقة أعلى في حساب مصاريف الإهلاك وفقًا لاستهلاك الأصول.</t>
  </si>
  <si>
    <t>إعداد دراسة لجدوى فصل الوحدات الإنتاجية ومصنع المنتجات الأسمنتية في شركة مستقلة</t>
  </si>
  <si>
    <t>تعزيز الكفاءة التشغيلية والمالية عبر إنشاء كيان متخصص ومستقل.</t>
  </si>
  <si>
    <t>الاجتماع القادم يوم 28 جمادى الآخرة 1443هـ لمراجعة المركز المالي ونتائج الأعمال</t>
  </si>
  <si>
    <t>تنظيم مراجعة الأداء المالي السنوي لضمان الشفافية وتحسين الأداء المستقبلي.</t>
  </si>
  <si>
    <t>تقديم تقرير مماثل لكل شركة بالمجموعة مثل تقرير شركة عبر المملكة</t>
  </si>
  <si>
    <t>توحيد مستوى التقارير وزيادة الشفافية لمتابعة أداء جميع الشركات.</t>
  </si>
  <si>
    <t>20/11/1443 </t>
  </si>
  <si>
    <t>19/6/2022</t>
  </si>
  <si>
    <t>إعداد تقرير مفصل بالمخزون الراكد وعرضه على المجلس</t>
  </si>
  <si>
    <t>اتخاذ قرارات بشأن إدارة وتصريف المخزون الراكد بفعالية.</t>
  </si>
  <si>
    <t>منع إضافة أي مصاريف إلى بند المصروفات العمومية والإدارية مع استقلاليته</t>
  </si>
  <si>
    <t>تعزيز دقة الإفصاح المالي وتحسين شفافية عرض المصروفات.</t>
  </si>
  <si>
    <t>عمل تقرير دقيق ومفصل بتكاليف المشاريع يوضح جميع البنود</t>
  </si>
  <si>
    <t>دعم اتخاذ قرارات دقيقة بشأن جدوى وكفاءة المشاريع.</t>
  </si>
  <si>
    <t>عمل تقارير للحسابات مثل الدائنون التجاريون وآخرون</t>
  </si>
  <si>
    <t>تحسين وضوح المتابعة المالية للالتزامات المختلفة.</t>
  </si>
  <si>
    <t>إعداد تقرير عن الدائنين التجاريين وآخرين</t>
  </si>
  <si>
    <t>تدقيق الالتزامات المالية وتعزيز الرقابة المالية عليها.</t>
  </si>
  <si>
    <t>إعداد تقرير عن المطلوبات والمستحقات الأخرى</t>
  </si>
  <si>
    <t>توفير صورة دقيقة وشاملة عن الوضع المالي للشركة.</t>
  </si>
  <si>
    <t>إعداد تقرير مستحقات وسلف وعهد الموظفين</t>
  </si>
  <si>
    <t>ضمان متابعة دقيقة للالتزامات المالية تجاه الموظفين.</t>
  </si>
  <si>
    <t>إدارة الشركة</t>
  </si>
  <si>
    <t>دراسة إنشاء كامب بنيوم لتسكين العمالة وتأجيره للغير</t>
  </si>
  <si>
    <t>تخفيض تكاليف الإسكان وتحقيق مصدر دخل إضافي للشركة.</t>
  </si>
  <si>
    <t>الاهتمام بإقفال المشاريع وإنهاء الأعمال المتعلقة بالتسليم</t>
  </si>
  <si>
    <t>تحسين السمعة التنفيذية وضمان إنهاء المشاريع في مواعيدها.</t>
  </si>
  <si>
    <t>التركيز على تحصيل المستحقات وإنهاء الأعمال غير المفوترة</t>
  </si>
  <si>
    <t>تحسين التدفق النقدي وتعظيم الإيرادات عبر استكمال الفوترة.</t>
  </si>
  <si>
    <t>عمل الإجراءات اللازمة لإنهاء مشروع حفر الباطن وتسليمه</t>
  </si>
  <si>
    <t>تسريع إنهاء المشروع لتفادي التأخير وتلبية متطلبات العملاء.</t>
  </si>
  <si>
    <t>ضرورة تقديم تقرير مفصل عن أعمال الإدارات المختلفة بالشركة في الاجتماعات القادمة</t>
  </si>
  <si>
    <t>متابعة أداء الإدارات وتحسين التنسيق الداخلي واتخاذ قرارات مستندة إلى معلومات دقيقة.</t>
  </si>
  <si>
    <t>إدارة المراجعة</t>
  </si>
  <si>
    <t>ضرورة اطلاع أعضاء مجلس الإدارة على تقرير لجنة المراجعة وأخذ التوصيات اللازمة</t>
  </si>
  <si>
    <t>تعزيز الرقابة الداخلية وضمان اتخاذ قرارات مدروسة بناءً على المراجعات الدورية.</t>
  </si>
  <si>
    <t>اعتماد التوصيات الواردة بتقرير لجنة المراجعة ومتابعة تنفيذها</t>
  </si>
  <si>
    <t>ضمان تطبيق التوصيات التصحيحية لتحسين الأداء المالي والتشغيلي.</t>
  </si>
  <si>
    <t>دراسة إنشاء شركة صناعية تضم جميع الوحدات الإنتاجية</t>
  </si>
  <si>
    <t>تعزيز الكفاءة الإنتاجية والاستفادة التجارية من الوحدات الصناعية.</t>
  </si>
  <si>
    <t>تكليف إدارة الزكاة والضريبة بدراسة إنشاء مجموعة ضريبية موحدة لشركات المجموعة</t>
  </si>
  <si>
    <t>تحسين الامتثال الضريبي وتقليل الالتزامات المالية عبر الدمج الضريبي.</t>
  </si>
  <si>
    <t>ضرورة ضبط تداول المعلومات ومستوى التصريح والسرية في جميع الإدارات</t>
  </si>
  <si>
    <t>حماية المعلومات الحساسة وتعزيز الأمن المعلوماتي داخل الشركة.</t>
  </si>
  <si>
    <t>ضرورة شمول الاجتماع القادم على تقرير لكل إدارة من إدارات الشركة</t>
  </si>
  <si>
    <t>تحسين الشفافية الإدارية ومتابعة الأداء التشغيلي بشكل دوري.</t>
  </si>
  <si>
    <t>وضع آلية واضحة لاحتساب نسبة الإنجاز بالمشاريع بمشاركة جميع الأطراف المعنية</t>
  </si>
  <si>
    <t>توحيد معايير قياس تقدم المشاريع وتحسين دقة التقارير المالية والفنية.</t>
  </si>
  <si>
    <t>إدارة الموارد البشرية</t>
  </si>
  <si>
    <t>إعداد هيكلة لإدارة المعدات والحركة والبحث عن كفاءات فنية متخصصة</t>
  </si>
  <si>
    <t>رفع الكفاءة الإدارية والفنية للإدارة لضمان التشغيل الأمثل.</t>
  </si>
  <si>
    <t>إعادة تصنيف المعدات وعدم تسجيل المعدات الصغيرة تحت بند المعدات الثقيلة</t>
  </si>
  <si>
    <t>تحسين دقة إدارة الأصول وتسهيل عمليات الجرد والتقييم.</t>
  </si>
  <si>
    <t>عمل بيان مفصل عن المعدات التي تحتاج صيانة وإصلاحها خلال شهر</t>
  </si>
  <si>
    <t>رفع كفاءة المعدات وخفض الأعطال وتحسين جاهزية الأسطول التشغيلي.</t>
  </si>
  <si>
    <t>1/12/1443</t>
  </si>
  <si>
    <t>30/6/2022</t>
  </si>
  <si>
    <t>1- الافتتاح وكلمة رئيس المجلس.</t>
  </si>
  <si>
    <t>2- عرض التقرير المالي للفترة من 01/01/2022م حتى 30/06/2022م (قائمة الدخل المنفردة – قائمة الدخل الموحدة – قائمة المركز المالي الموحدة).</t>
  </si>
  <si>
    <t>3- عرض التقرير الفني (أداء المشاريع) للفترة من 01/01/2022م حتى 30/06/2022م.</t>
  </si>
  <si>
    <t>4- عرض ومناقشة تقرير إدارة المراجعة الداخلية واتخاذ القرارات اللازمة.</t>
  </si>
  <si>
    <t>5- ما يستجد من أعمال والتوصيات والقرارات.</t>
  </si>
  <si>
    <t>الاعتماد على عمالة الشركة في المشاريع وإلغاء العمالة الخارجية</t>
  </si>
  <si>
    <t>تقليل التكاليف وتحقيق استقرار وظيفي أعلى.</t>
  </si>
  <si>
    <t>العمل على فصل القروض بما يخص نشاط المقاولات عن الأنشطة الأخرى.</t>
  </si>
  <si>
    <t>تقديم تقرير يوضح المعدات المستخدمة وغير المستخدمة والمعطلة.</t>
  </si>
  <si>
    <t>إعداد تقرير بالمخزون الراكد وتفعيل دور إدارة المستودعات.</t>
  </si>
  <si>
    <t>اطلاع مدير المنطقة الغربية على تقرير لجنة المراجعة الداخلية وتقديم التوصيات.</t>
  </si>
  <si>
    <t>ضمان الرقابة الداخلية الجيدة وتحسين العمليات.</t>
  </si>
  <si>
    <t>الادارات</t>
  </si>
  <si>
    <t>Date H</t>
  </si>
  <si>
    <t>Date</t>
  </si>
  <si>
    <t>Items of meeting Ajenda</t>
  </si>
  <si>
    <t>Department- entity</t>
  </si>
  <si>
    <t>Recommendation No.</t>
  </si>
  <si>
    <t>Description of recomendaed item</t>
  </si>
  <si>
    <t>Goal- reason of recommendation</t>
  </si>
  <si>
    <t>الحالة</t>
  </si>
  <si>
    <t>تاريخ التنفيذ</t>
  </si>
  <si>
    <t>أثر التوصية</t>
  </si>
  <si>
    <t>الملاحظات</t>
  </si>
  <si>
    <t>الأولوية</t>
  </si>
  <si>
    <t>معدل الاكمال</t>
  </si>
  <si>
    <t>روابط</t>
  </si>
  <si>
    <t>The condition</t>
  </si>
  <si>
    <t>Implementation date</t>
  </si>
  <si>
    <t>الادارة المسؤولة</t>
  </si>
  <si>
    <t>Responsible management</t>
  </si>
  <si>
    <t>Notes</t>
  </si>
  <si>
    <t>Priority</t>
  </si>
  <si>
    <t>Links</t>
  </si>
  <si>
    <t>recommendation Impact</t>
  </si>
  <si>
    <t>Completion rate (%)</t>
  </si>
  <si>
    <t>لم يبدأ</t>
  </si>
  <si>
    <t xml:space="preserve">جار التنفيذ </t>
  </si>
  <si>
    <t xml:space="preserve">مكتمل </t>
  </si>
  <si>
    <t>عدد التوصيات</t>
  </si>
  <si>
    <t xml:space="preserve">عالية  </t>
  </si>
  <si>
    <t xml:space="preserve">متوسطة </t>
  </si>
  <si>
    <t>منخفضة</t>
  </si>
  <si>
    <t>الاولوية</t>
  </si>
  <si>
    <t>Average of معدل الاكمال</t>
  </si>
  <si>
    <t>عدد التوصيات المنفذة</t>
  </si>
  <si>
    <t>التاريخ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</si>
</sst>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1"/>
      <color rgb="FFFFFFFF"/>
      <name val="Arial"/>
      <charset val="1"/>
    </font>
    <font>
      <b/>
      <sz val="12"/>
      <color theme="1"/>
      <name val="Calibri"/>
      <family val="2"/>
    </font>
    <font>
      <b/>
      <sz val="12"/>
      <color theme="1"/>
      <name val="Calibri"/>
      <family val="2"/>
      <scheme val="minor"/>
    </font>
    <font>
      <b/>
      <sz val="12"/>
      <color theme="0"/>
      <name val="Calibri"/>
      <family val="2"/>
      <scheme val="minor"/>
    </font>
    <font>
      <sz val="12"/>
      <color theme="1"/>
      <name val="Calibri"/>
      <family val="2"/>
      <charset val="1"/>
    </font>
    <font>
      <b/>
      <sz val="12"/>
      <color theme="1"/>
      <name val="Segoe UI"/>
      <family val="2"/>
    </font>
    <font>
      <sz val="11"/>
      <color theme="1"/>
      <name val="Calibri"/>
      <family val="2"/>
      <charset val="1"/>
    </font>
    <font>
      <sz val="8"/>
      <name val="Calibri"/>
      <family val="2"/>
      <charset val="1"/>
    </font>
    <font>
      <b/>
      <sz val="11"/>
      <color theme="1"/>
      <name val="Calibri"/>
      <family val="2"/>
    </font>
    <font>
      <sz val="11"/>
      <color theme="1"/>
      <name val="Calibri"/>
      <family val="2"/>
    </font>
  </fonts>
  <fills count="15">
    <fill>
      <patternFill patternType="none"/>
    </fill>
    <fill>
      <patternFill patternType="gray125"/>
    </fill>
    <fill>
      <patternFill patternType="solid">
        <fgColor rgb="FF4F81BD"/>
        <bgColor rgb="FF808080"/>
      </patternFill>
    </fill>
    <fill>
      <patternFill patternType="solid">
        <fgColor rgb="FFD9E1F2"/>
        <bgColor rgb="FFE2EFDA"/>
      </patternFill>
    </fill>
    <fill>
      <patternFill patternType="solid">
        <fgColor rgb="FFFCE4D6"/>
        <bgColor rgb="FFFFF2CC"/>
      </patternFill>
    </fill>
    <fill>
      <patternFill patternType="solid">
        <fgColor rgb="FFE2EFDA"/>
        <bgColor rgb="FFD9E1F2"/>
      </patternFill>
    </fill>
    <fill>
      <patternFill patternType="solid">
        <fgColor rgb="FFFFF2CC"/>
        <bgColor rgb="FFFCE4D6"/>
      </patternFill>
    </fill>
    <fill>
      <patternFill patternType="solid">
        <fgColor rgb="FFEAD1DC"/>
        <bgColor rgb="FFD9E1F2"/>
      </patternFill>
    </fill>
    <fill>
      <patternFill patternType="solid">
        <fgColor theme="0"/>
        <bgColor rgb="FFFFFF00"/>
      </patternFill>
    </fill>
    <fill>
      <patternFill patternType="solid">
        <fgColor theme="0"/>
        <bgColor rgb="FF81D41A"/>
      </patternFill>
    </fill>
    <fill>
      <patternFill patternType="solid">
        <fgColor theme="0"/>
        <bgColor indexed="64"/>
      </patternFill>
    </fill>
    <fill>
      <patternFill patternType="solid">
        <fgColor theme="0"/>
        <bgColor rgb="FF5EB91E"/>
      </patternFill>
    </fill>
    <fill>
      <patternFill patternType="solid">
        <fgColor theme="4"/>
        <bgColor rgb="FFFFFF00"/>
      </patternFill>
    </fill>
    <fill>
      <patternFill patternType="solid">
        <fgColor theme="4"/>
        <bgColor rgb="FF81D41A"/>
      </patternFill>
    </fill>
    <fill>
      <patternFill patternType="solid">
        <fgColor theme="4" tint="0.79998168889431442"/>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auto="1"/>
      </left>
      <right style="medium">
        <color indexed="64"/>
      </right>
      <top style="medium">
        <color indexed="64"/>
      </top>
      <bottom/>
      <diagonal/>
    </border>
    <border>
      <left/>
      <right/>
      <top style="thin">
        <color auto="1"/>
      </top>
      <bottom/>
      <diagonal/>
    </border>
  </borders>
  <cellStyleXfs count="2">
    <xf numFmtId="0" fontId="0" fillId="0" borderId="0"/>
    <xf numFmtId="9" fontId="7" fillId="0" borderId="0" applyFont="0" applyFill="0" applyBorder="0" applyAlignment="0" applyProtection="0"/>
  </cellStyleXfs>
  <cellXfs count="70">
    <xf numFmtId="0" fontId="0" fillId="0" borderId="0" xfId="0"/>
    <xf numFmtId="0" fontId="1" fillId="2" borderId="0" xfId="0" applyFont="1" applyFill="1" applyAlignment="1">
      <alignment horizontal="center" vertical="center"/>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2" fillId="10" borderId="0" xfId="0" applyFont="1" applyFill="1" applyAlignment="1">
      <alignment horizontal="right" vertical="top"/>
    </xf>
    <xf numFmtId="0" fontId="2" fillId="8" borderId="0" xfId="0" applyFont="1" applyFill="1" applyAlignment="1">
      <alignment horizontal="right" vertical="top"/>
    </xf>
    <xf numFmtId="0" fontId="2" fillId="9" borderId="0" xfId="0" applyFont="1" applyFill="1" applyAlignment="1">
      <alignment horizontal="right" vertical="top"/>
    </xf>
    <xf numFmtId="0" fontId="2" fillId="8" borderId="1" xfId="0" applyFont="1" applyFill="1" applyBorder="1" applyAlignment="1">
      <alignment horizontal="right" vertical="top"/>
    </xf>
    <xf numFmtId="0" fontId="2" fillId="9" borderId="1" xfId="0" applyFont="1" applyFill="1" applyBorder="1" applyAlignment="1">
      <alignment horizontal="right" vertical="top"/>
    </xf>
    <xf numFmtId="0" fontId="5" fillId="10" borderId="0" xfId="0" applyFont="1" applyFill="1" applyAlignment="1">
      <alignment horizontal="right" vertical="top"/>
    </xf>
    <xf numFmtId="0" fontId="2" fillId="8" borderId="0" xfId="0" applyFont="1" applyFill="1" applyAlignment="1">
      <alignment horizontal="center" vertical="top"/>
    </xf>
    <xf numFmtId="0" fontId="2" fillId="8" borderId="1" xfId="0" applyFont="1" applyFill="1" applyBorder="1" applyAlignment="1">
      <alignment horizontal="center" vertical="top"/>
    </xf>
    <xf numFmtId="0" fontId="5" fillId="10" borderId="3" xfId="0" applyFont="1" applyFill="1" applyBorder="1" applyAlignment="1">
      <alignment horizontal="right" vertical="top"/>
    </xf>
    <xf numFmtId="0" fontId="2" fillId="10" borderId="6" xfId="0" applyFont="1" applyFill="1" applyBorder="1" applyAlignment="1">
      <alignment horizontal="right" vertical="top"/>
    </xf>
    <xf numFmtId="0" fontId="5" fillId="10" borderId="6" xfId="0" applyFont="1" applyFill="1" applyBorder="1" applyAlignment="1">
      <alignment horizontal="right" vertical="top"/>
    </xf>
    <xf numFmtId="0" fontId="5" fillId="10" borderId="5" xfId="0" applyFont="1" applyFill="1" applyBorder="1" applyAlignment="1">
      <alignment horizontal="right" vertical="top"/>
    </xf>
    <xf numFmtId="0" fontId="4" fillId="12" borderId="8" xfId="0" applyFont="1" applyFill="1" applyBorder="1" applyAlignment="1">
      <alignment horizontal="center" vertical="center"/>
    </xf>
    <xf numFmtId="0" fontId="4" fillId="12" borderId="1" xfId="0" applyFont="1" applyFill="1" applyBorder="1" applyAlignment="1">
      <alignment horizontal="center" vertical="center"/>
    </xf>
    <xf numFmtId="0" fontId="4" fillId="13" borderId="1" xfId="0" applyFont="1" applyFill="1" applyBorder="1" applyAlignment="1">
      <alignment horizontal="center" vertical="center"/>
    </xf>
    <xf numFmtId="0" fontId="4" fillId="12" borderId="1" xfId="0" applyFont="1" applyFill="1" applyBorder="1" applyAlignment="1">
      <alignment horizontal="center" vertical="center" wrapText="1"/>
    </xf>
    <xf numFmtId="0" fontId="4" fillId="12" borderId="4" xfId="0" applyFont="1" applyFill="1" applyBorder="1" applyAlignment="1">
      <alignment horizontal="center" vertical="center" wrapText="1"/>
    </xf>
    <xf numFmtId="0" fontId="0" fillId="0" borderId="0" xfId="0" pivotButton="1"/>
    <xf numFmtId="0" fontId="0" fillId="0" borderId="0" xfId="0" applyAlignment="1">
      <alignment horizontal="right"/>
    </xf>
    <xf numFmtId="0" fontId="2" fillId="8" borderId="7" xfId="0" applyFont="1" applyFill="1" applyBorder="1" applyAlignment="1">
      <alignment horizontal="right" vertical="top"/>
    </xf>
    <xf numFmtId="0" fontId="2" fillId="8" borderId="2" xfId="0" applyFont="1" applyFill="1" applyBorder="1" applyAlignment="1">
      <alignment horizontal="right" vertical="top"/>
    </xf>
    <xf numFmtId="0" fontId="2" fillId="9" borderId="2" xfId="0" applyFont="1" applyFill="1" applyBorder="1" applyAlignment="1">
      <alignment horizontal="right" vertical="top"/>
    </xf>
    <xf numFmtId="0" fontId="2" fillId="8" borderId="2" xfId="0" applyFont="1" applyFill="1" applyBorder="1" applyAlignment="1">
      <alignment horizontal="center" vertical="top"/>
    </xf>
    <xf numFmtId="0" fontId="4" fillId="13" borderId="17" xfId="0" applyFont="1" applyFill="1" applyBorder="1" applyAlignment="1">
      <alignment horizontal="center" vertical="center"/>
    </xf>
    <xf numFmtId="0" fontId="4" fillId="12" borderId="17" xfId="0" applyFont="1" applyFill="1" applyBorder="1" applyAlignment="1">
      <alignment horizontal="center" vertical="center" wrapText="1"/>
    </xf>
    <xf numFmtId="0" fontId="4" fillId="12" borderId="18" xfId="0" applyFont="1" applyFill="1" applyBorder="1" applyAlignment="1">
      <alignment horizontal="center" vertical="center" wrapText="1"/>
    </xf>
    <xf numFmtId="0" fontId="2" fillId="10" borderId="3" xfId="0" applyFont="1" applyFill="1" applyBorder="1" applyAlignment="1">
      <alignment horizontal="right" vertical="top"/>
    </xf>
    <xf numFmtId="0" fontId="3" fillId="9" borderId="3" xfId="0" applyFont="1" applyFill="1" applyBorder="1" applyAlignment="1">
      <alignment horizontal="right" vertical="center" wrapText="1" readingOrder="2"/>
    </xf>
    <xf numFmtId="0" fontId="3" fillId="8" borderId="3" xfId="0" applyFont="1" applyFill="1" applyBorder="1" applyAlignment="1">
      <alignment horizontal="right" vertical="center" wrapText="1"/>
    </xf>
    <xf numFmtId="0" fontId="3" fillId="8" borderId="3" xfId="0" applyFont="1" applyFill="1" applyBorder="1" applyAlignment="1">
      <alignment horizontal="center" vertical="center" wrapText="1"/>
    </xf>
    <xf numFmtId="0" fontId="2" fillId="10" borderId="3" xfId="0" applyFont="1" applyFill="1" applyBorder="1" applyAlignment="1">
      <alignment horizontal="center" vertical="center" wrapText="1"/>
    </xf>
    <xf numFmtId="10" fontId="5" fillId="10" borderId="3" xfId="0" applyNumberFormat="1" applyFont="1" applyFill="1" applyBorder="1" applyAlignment="1">
      <alignment horizontal="right" vertical="top"/>
    </xf>
    <xf numFmtId="14" fontId="3" fillId="8" borderId="3" xfId="0" applyNumberFormat="1" applyFont="1" applyFill="1" applyBorder="1" applyAlignment="1">
      <alignment horizontal="right" vertical="center"/>
    </xf>
    <xf numFmtId="14" fontId="3" fillId="10" borderId="3" xfId="0" applyNumberFormat="1" applyFont="1" applyFill="1" applyBorder="1" applyAlignment="1">
      <alignment horizontal="right" vertical="center"/>
    </xf>
    <xf numFmtId="0" fontId="3" fillId="9" borderId="3" xfId="0" applyFont="1" applyFill="1" applyBorder="1" applyAlignment="1">
      <alignment horizontal="right" vertical="center"/>
    </xf>
    <xf numFmtId="14" fontId="3" fillId="10" borderId="3" xfId="0" applyNumberFormat="1" applyFont="1" applyFill="1" applyBorder="1" applyAlignment="1">
      <alignment horizontal="right" vertical="center" wrapText="1" readingOrder="2"/>
    </xf>
    <xf numFmtId="14" fontId="3" fillId="11" borderId="3" xfId="0" applyNumberFormat="1" applyFont="1" applyFill="1" applyBorder="1" applyAlignment="1">
      <alignment horizontal="right" vertical="center"/>
    </xf>
    <xf numFmtId="14" fontId="6" fillId="10" borderId="3" xfId="0" applyNumberFormat="1" applyFont="1" applyFill="1" applyBorder="1" applyAlignment="1">
      <alignment horizontal="right" vertical="center"/>
    </xf>
    <xf numFmtId="14" fontId="3" fillId="8" borderId="3" xfId="0" applyNumberFormat="1" applyFont="1" applyFill="1" applyBorder="1" applyAlignment="1">
      <alignment horizontal="right" vertical="center" wrapText="1" readingOrder="2"/>
    </xf>
    <xf numFmtId="0" fontId="0" fillId="14" borderId="11" xfId="0" applyFill="1" applyBorder="1"/>
    <xf numFmtId="0" fontId="0" fillId="14" borderId="9" xfId="0" applyFill="1" applyBorder="1"/>
    <xf numFmtId="0" fontId="0" fillId="14" borderId="12" xfId="0" applyFill="1" applyBorder="1"/>
    <xf numFmtId="0" fontId="0" fillId="14" borderId="10" xfId="0" applyFill="1" applyBorder="1"/>
    <xf numFmtId="0" fontId="0" fillId="14" borderId="0" xfId="0" applyFill="1"/>
    <xf numFmtId="0" fontId="0" fillId="14" borderId="13" xfId="0" applyFill="1" applyBorder="1"/>
    <xf numFmtId="0" fontId="0" fillId="14" borderId="14" xfId="0" applyFill="1" applyBorder="1"/>
    <xf numFmtId="0" fontId="0" fillId="14" borderId="15" xfId="0" applyFill="1" applyBorder="1"/>
    <xf numFmtId="0" fontId="0" fillId="14" borderId="16" xfId="0" applyFill="1" applyBorder="1"/>
    <xf numFmtId="10" fontId="0" fillId="0" borderId="0" xfId="0" applyNumberFormat="1"/>
    <xf numFmtId="14" fontId="0" fillId="0" borderId="0" xfId="0" applyNumberFormat="1" applyAlignment="1">
      <alignment horizontal="right"/>
    </xf>
    <xf numFmtId="14" fontId="4" fillId="12" borderId="17" xfId="0" applyNumberFormat="1" applyFont="1" applyFill="1" applyBorder="1" applyAlignment="1">
      <alignment horizontal="center" vertical="center"/>
    </xf>
    <xf numFmtId="14" fontId="4" fillId="12" borderId="11" xfId="0" applyNumberFormat="1" applyFont="1" applyFill="1" applyBorder="1" applyAlignment="1">
      <alignment horizontal="center" vertical="center"/>
    </xf>
    <xf numFmtId="14" fontId="3" fillId="8" borderId="19" xfId="0" applyNumberFormat="1" applyFont="1" applyFill="1" applyBorder="1" applyAlignment="1">
      <alignment horizontal="right" vertical="center"/>
    </xf>
    <xf numFmtId="14" fontId="3" fillId="11" borderId="19" xfId="0" applyNumberFormat="1" applyFont="1" applyFill="1" applyBorder="1" applyAlignment="1">
      <alignment horizontal="right" vertical="center"/>
    </xf>
    <xf numFmtId="14" fontId="6" fillId="10" borderId="19" xfId="0" applyNumberFormat="1" applyFont="1" applyFill="1" applyBorder="1" applyAlignment="1">
      <alignment horizontal="right" vertical="center"/>
    </xf>
    <xf numFmtId="14" fontId="3" fillId="10" borderId="19" xfId="0" applyNumberFormat="1" applyFont="1" applyFill="1" applyBorder="1" applyAlignment="1">
      <alignment horizontal="right" vertical="center"/>
    </xf>
    <xf numFmtId="14" fontId="3" fillId="8" borderId="19" xfId="0" applyNumberFormat="1" applyFont="1" applyFill="1" applyBorder="1" applyAlignment="1">
      <alignment horizontal="right" vertical="center" wrapText="1"/>
    </xf>
    <xf numFmtId="14" fontId="3" fillId="10" borderId="19" xfId="0" applyNumberFormat="1" applyFont="1" applyFill="1" applyBorder="1" applyAlignment="1">
      <alignment horizontal="right" vertical="center" wrapText="1"/>
    </xf>
    <xf numFmtId="14" fontId="6" fillId="10" borderId="19" xfId="0" applyNumberFormat="1" applyFont="1" applyFill="1" applyBorder="1" applyAlignment="1">
      <alignment horizontal="right" vertical="center" wrapText="1"/>
    </xf>
    <xf numFmtId="14" fontId="4" fillId="12" borderId="17" xfId="0" applyNumberFormat="1" applyFont="1" applyFill="1" applyBorder="1" applyAlignment="1">
      <alignment horizontal="center" vertical="center" wrapText="1"/>
    </xf>
    <xf numFmtId="0" fontId="9" fillId="14" borderId="0" xfId="0" applyFont="1" applyFill="1" applyAlignment="1">
      <alignment wrapText="1"/>
    </xf>
    <xf numFmtId="9" fontId="9" fillId="14" borderId="0" xfId="1" applyFont="1" applyFill="1" applyBorder="1" applyAlignment="1">
      <alignment wrapText="1"/>
    </xf>
    <xf numFmtId="0" fontId="10" fillId="14" borderId="0" xfId="0" applyFont="1" applyFill="1"/>
  </cellXfs>
  <cellStyles count="2">
    <cellStyle name="Normal" xfId="0" builtinId="0"/>
    <cellStyle name="Percent" xfId="1" builtinId="5"/>
  </cellStyles>
  <dxfs count="18">
    <dxf>
      <font>
        <b val="0"/>
        <i val="0"/>
        <strike val="0"/>
        <condense val="0"/>
        <extend val="0"/>
        <outline val="0"/>
        <shadow val="0"/>
        <u val="none"/>
        <vertAlign val="baseline"/>
        <sz val="12"/>
        <color theme="1"/>
        <name val="Calibri"/>
        <family val="2"/>
        <charset val="1"/>
        <scheme val="none"/>
      </font>
      <fill>
        <patternFill patternType="solid">
          <fgColor indexed="64"/>
          <bgColor theme="0"/>
        </patternFill>
      </fill>
      <alignment horizontal="right" vertical="top"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2"/>
        <color theme="1"/>
        <name val="Calibri"/>
        <family val="2"/>
        <charset val="1"/>
        <scheme val="none"/>
      </font>
      <fill>
        <patternFill patternType="solid">
          <fgColor indexed="64"/>
          <bgColor theme="0"/>
        </patternFill>
      </fill>
      <alignment horizontal="right" vertical="top"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2"/>
        <color theme="1"/>
        <name val="Calibri"/>
        <family val="2"/>
        <charset val="1"/>
        <scheme val="none"/>
      </font>
      <numFmt numFmtId="14" formatCode="0.00%"/>
      <fill>
        <patternFill patternType="solid">
          <fgColor indexed="64"/>
          <bgColor theme="0"/>
        </patternFill>
      </fill>
      <alignment horizontal="right" vertical="top" textRotation="0" wrapText="0" indent="0" justifyLastLine="0" shrinkToFit="0" readingOrder="0"/>
      <border diagonalUp="0" diagonalDown="0">
        <left style="thin">
          <color auto="1"/>
        </left>
        <right/>
        <top style="thin">
          <color auto="1"/>
        </top>
        <bottom/>
        <vertical/>
        <horizontal/>
      </border>
    </dxf>
    <dxf>
      <font>
        <b/>
        <i val="0"/>
        <strike val="0"/>
        <condense val="0"/>
        <extend val="0"/>
        <outline val="0"/>
        <shadow val="0"/>
        <u val="none"/>
        <vertAlign val="baseline"/>
        <sz val="12"/>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2"/>
        <color theme="1"/>
        <name val="Calibri"/>
        <family val="2"/>
        <charset val="1"/>
        <scheme val="none"/>
      </font>
      <fill>
        <patternFill patternType="solid">
          <fgColor indexed="64"/>
          <bgColor theme="0"/>
        </patternFill>
      </fill>
      <alignment horizontal="right" vertical="top" textRotation="0" wrapText="0" indent="0" justifyLastLine="0" shrinkToFit="0" readingOrder="0"/>
      <border diagonalUp="0" diagonalDown="0">
        <left style="thin">
          <color auto="1"/>
        </left>
        <right/>
        <top style="thin">
          <color auto="1"/>
        </top>
        <bottom/>
        <vertical/>
        <horizontal/>
      </border>
    </dxf>
    <dxf>
      <font>
        <b/>
        <i val="0"/>
        <strike val="0"/>
        <condense val="0"/>
        <extend val="0"/>
        <outline val="0"/>
        <shadow val="0"/>
        <u val="none"/>
        <vertAlign val="baseline"/>
        <sz val="12"/>
        <color theme="1"/>
        <name val="Calibri"/>
        <family val="2"/>
        <scheme val="minor"/>
      </font>
      <fill>
        <patternFill patternType="solid">
          <fgColor rgb="FFFFFF00"/>
          <bgColor theme="0"/>
        </patternFill>
      </fill>
      <alignment horizontal="right" vertical="center" textRotation="0" wrapText="1" indent="0" justifyLastLine="0" shrinkToFit="0" readingOrder="0"/>
      <border diagonalUp="0" diagonalDown="0" outline="0">
        <left/>
        <right/>
        <top style="thin">
          <color auto="1"/>
        </top>
        <bottom/>
      </border>
    </dxf>
    <dxf>
      <font>
        <b/>
        <i val="0"/>
        <strike val="0"/>
        <condense val="0"/>
        <extend val="0"/>
        <outline val="0"/>
        <shadow val="0"/>
        <u val="none"/>
        <vertAlign val="baseline"/>
        <sz val="12"/>
        <color theme="1"/>
        <name val="Calibri"/>
        <family val="2"/>
        <scheme val="minor"/>
      </font>
      <numFmt numFmtId="19" formatCode="m/d/yyyy"/>
      <fill>
        <patternFill patternType="solid">
          <fgColor indexed="64"/>
          <bgColor theme="0"/>
        </patternFill>
      </fill>
      <alignment horizontal="right" vertical="center" textRotation="0" wrapText="1" indent="0" justifyLastLine="0" shrinkToFit="0" readingOrder="2"/>
      <border diagonalUp="0" diagonalDown="0" outline="0">
        <left style="thin">
          <color auto="1"/>
        </left>
        <right/>
        <top style="thin">
          <color auto="1"/>
        </top>
        <bottom/>
      </border>
    </dxf>
    <dxf>
      <font>
        <b/>
        <i val="0"/>
        <strike val="0"/>
        <condense val="0"/>
        <extend val="0"/>
        <outline val="0"/>
        <shadow val="0"/>
        <u val="none"/>
        <vertAlign val="baseline"/>
        <sz val="12"/>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auto="1"/>
        </left>
        <right style="thin">
          <color indexed="64"/>
        </right>
        <top style="thin">
          <color auto="1"/>
        </top>
        <bottom/>
      </border>
    </dxf>
    <dxf>
      <font>
        <b/>
        <i val="0"/>
        <strike val="0"/>
        <condense val="0"/>
        <extend val="0"/>
        <outline val="0"/>
        <shadow val="0"/>
        <u val="none"/>
        <vertAlign val="baseline"/>
        <sz val="12"/>
        <color theme="1"/>
        <name val="Calibri"/>
        <family val="2"/>
        <scheme val="minor"/>
      </font>
      <fill>
        <patternFill patternType="solid">
          <fgColor rgb="FFFFFF00"/>
          <bgColor theme="0"/>
        </patternFill>
      </fill>
      <alignment horizontal="right" vertical="center" textRotation="0" wrapText="1" indent="0" justifyLastLine="0" shrinkToFit="0" readingOrder="0"/>
      <border diagonalUp="0" diagonalDown="0">
        <left style="thin">
          <color auto="1"/>
        </left>
        <right/>
        <top style="thin">
          <color auto="1"/>
        </top>
        <bottom/>
        <vertical/>
        <horizontal/>
      </border>
    </dxf>
    <dxf>
      <font>
        <b/>
        <i val="0"/>
        <strike val="0"/>
        <condense val="0"/>
        <extend val="0"/>
        <outline val="0"/>
        <shadow val="0"/>
        <u val="none"/>
        <vertAlign val="baseline"/>
        <sz val="12"/>
        <color theme="1"/>
        <name val="Calibri"/>
        <family val="2"/>
        <scheme val="minor"/>
      </font>
      <fill>
        <patternFill patternType="solid">
          <fgColor rgb="FFFFFF00"/>
          <bgColor theme="0"/>
        </patternFill>
      </fill>
      <alignment horizontal="right" vertical="center" textRotation="0" wrapText="1" indent="0" justifyLastLine="0" shrinkToFit="0" readingOrder="0"/>
      <border diagonalUp="0" diagonalDown="0">
        <left style="thin">
          <color auto="1"/>
        </left>
        <right/>
        <top style="thin">
          <color auto="1"/>
        </top>
        <bottom/>
        <vertical/>
        <horizontal/>
      </border>
    </dxf>
    <dxf>
      <font>
        <b/>
        <i val="0"/>
        <strike val="0"/>
        <condense val="0"/>
        <extend val="0"/>
        <outline val="0"/>
        <shadow val="0"/>
        <u val="none"/>
        <vertAlign val="baseline"/>
        <sz val="12"/>
        <color theme="1"/>
        <name val="Calibri"/>
        <family val="2"/>
        <scheme val="minor"/>
      </font>
      <fill>
        <patternFill patternType="solid">
          <fgColor rgb="FFFFFF00"/>
          <bgColor theme="0"/>
        </patternFill>
      </fill>
      <alignment horizontal="center" vertical="center" textRotation="0" wrapText="1" indent="0" justifyLastLine="0" shrinkToFit="0" readingOrder="0"/>
      <border diagonalUp="0" diagonalDown="0">
        <left style="thin">
          <color auto="1"/>
        </left>
        <right/>
        <top style="thin">
          <color auto="1"/>
        </top>
        <bottom/>
        <vertical/>
        <horizontal/>
      </border>
    </dxf>
    <dxf>
      <font>
        <b/>
        <i val="0"/>
        <strike val="0"/>
        <condense val="0"/>
        <extend val="0"/>
        <outline val="0"/>
        <shadow val="0"/>
        <u val="none"/>
        <vertAlign val="baseline"/>
        <sz val="12"/>
        <color theme="1"/>
        <name val="Calibri"/>
        <family val="2"/>
        <scheme val="minor"/>
      </font>
      <fill>
        <patternFill patternType="solid">
          <fgColor rgb="FFFFFF00"/>
          <bgColor theme="0"/>
        </patternFill>
      </fill>
      <alignment horizontal="right" vertical="center" textRotation="0" wrapText="1" indent="0" justifyLastLine="0" shrinkToFit="0" readingOrder="0"/>
      <border diagonalUp="0" diagonalDown="0">
        <left style="thin">
          <color auto="1"/>
        </left>
        <right/>
        <top style="thin">
          <color auto="1"/>
        </top>
        <bottom/>
        <vertical/>
        <horizontal/>
      </border>
    </dxf>
    <dxf>
      <font>
        <b/>
        <i val="0"/>
        <strike val="0"/>
        <condense val="0"/>
        <extend val="0"/>
        <outline val="0"/>
        <shadow val="0"/>
        <u val="none"/>
        <vertAlign val="baseline"/>
        <sz val="12"/>
        <color theme="1"/>
        <name val="Calibri"/>
        <family val="2"/>
        <scheme val="minor"/>
      </font>
      <fill>
        <patternFill patternType="solid">
          <fgColor rgb="FF81D41A"/>
          <bgColor theme="0"/>
        </patternFill>
      </fill>
      <alignment horizontal="right" vertical="center" textRotation="0" wrapText="1" indent="0" justifyLastLine="0" shrinkToFit="0" readingOrder="2"/>
      <border diagonalUp="0" diagonalDown="0" outline="0">
        <left/>
        <right/>
        <top style="thin">
          <color auto="1"/>
        </top>
        <bottom/>
      </border>
    </dxf>
    <dxf>
      <font>
        <b/>
        <i val="0"/>
        <strike val="0"/>
        <condense val="0"/>
        <extend val="0"/>
        <outline val="0"/>
        <shadow val="0"/>
        <u val="none"/>
        <vertAlign val="baseline"/>
        <sz val="12"/>
        <color theme="1"/>
        <name val="Calibri"/>
        <family val="2"/>
        <scheme val="minor"/>
      </font>
      <numFmt numFmtId="19" formatCode="m/d/yyyy"/>
      <fill>
        <patternFill patternType="solid">
          <fgColor indexed="64"/>
          <bgColor theme="0"/>
        </patternFill>
      </fill>
      <alignment horizontal="right" vertical="center" textRotation="0" wrapText="1" indent="0" justifyLastLine="0" shrinkToFit="0" readingOrder="2"/>
      <border diagonalUp="0" diagonalDown="0" outline="0">
        <left/>
        <right/>
        <top style="thin">
          <color auto="1"/>
        </top>
        <bottom/>
      </border>
    </dxf>
    <dxf>
      <font>
        <b/>
        <i val="0"/>
        <strike val="0"/>
        <condense val="0"/>
        <extend val="0"/>
        <outline val="0"/>
        <shadow val="0"/>
        <u val="none"/>
        <vertAlign val="baseline"/>
        <sz val="12"/>
        <color theme="1"/>
        <name val="Calibri"/>
        <family val="2"/>
        <scheme val="minor"/>
      </font>
      <numFmt numFmtId="19" formatCode="m/d/yyyy"/>
      <fill>
        <patternFill patternType="solid">
          <fgColor indexed="64"/>
          <bgColor theme="0"/>
        </patternFill>
      </fill>
      <alignment horizontal="right" vertical="center" textRotation="0" wrapText="1" indent="0" justifyLastLine="0" shrinkToFit="0" readingOrder="0"/>
      <border diagonalUp="0" diagonalDown="0" outline="0">
        <left/>
        <right style="thin">
          <color indexed="64"/>
        </right>
        <top style="thin">
          <color auto="1"/>
        </top>
        <bottom/>
      </border>
    </dxf>
    <dxf>
      <border outline="0">
        <left style="medium">
          <color indexed="64"/>
        </left>
        <right style="medium">
          <color indexed="64"/>
        </right>
        <top style="thin">
          <color auto="1"/>
        </top>
        <bottom style="medium">
          <color indexed="64"/>
        </bottom>
      </border>
    </dxf>
    <dxf>
      <font>
        <b val="0"/>
        <i val="0"/>
        <strike val="0"/>
        <condense val="0"/>
        <extend val="0"/>
        <outline val="0"/>
        <shadow val="0"/>
        <u val="none"/>
        <vertAlign val="baseline"/>
        <sz val="12"/>
        <color theme="1"/>
        <name val="Calibri"/>
        <family val="2"/>
        <charset val="1"/>
        <scheme val="none"/>
      </font>
      <fill>
        <patternFill patternType="solid">
          <fgColor indexed="64"/>
          <bgColor theme="0"/>
        </patternFill>
      </fill>
      <alignment horizontal="right" vertical="top"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rgb="FFFFFF00"/>
          <bgColor theme="4"/>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EAD1DC"/>
      <rgbColor rgb="FF3366FF"/>
      <rgbColor rgb="FF33CCCC"/>
      <rgbColor rgb="FF81D41A"/>
      <rgbColor rgb="FFFFCC00"/>
      <rgbColor rgb="FFFF9900"/>
      <rgbColor rgb="FFFF6600"/>
      <rgbColor rgb="FF4F81BD"/>
      <rgbColor rgb="FF969696"/>
      <rgbColor rgb="FF003366"/>
      <rgbColor rgb="FF5EB91E"/>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[real-client-task1.xlsx]عدد التوصيات حسب الادارة!PivotTable13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chemeClr val="tx1"/>
                </a:solidFill>
              </a:rPr>
              <a:t>عدد التوصيات حسب الادارة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'عدد التوصيات حسب الادارة'!$B$3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'عدد التوصيات حسب الادارة'!$A$4:$A$13</c:f>
              <c:strCache>
                <c:ptCount val="10"/>
                <c:pt idx="0">
                  <c:v>إدارة الشركة</c:v>
                </c:pt>
                <c:pt idx="1">
                  <c:v>إدارة المراجعة</c:v>
                </c:pt>
                <c:pt idx="2">
                  <c:v>إدارة المستودعات</c:v>
                </c:pt>
                <c:pt idx="3">
                  <c:v>إدارة المشاريع</c:v>
                </c:pt>
                <c:pt idx="4">
                  <c:v>إدارة المعدات</c:v>
                </c:pt>
                <c:pt idx="5">
                  <c:v>إدارة الموارد البشرية</c:v>
                </c:pt>
                <c:pt idx="6">
                  <c:v>المالية</c:v>
                </c:pt>
                <c:pt idx="7">
                  <c:v>أمانة المجلس</c:v>
                </c:pt>
                <c:pt idx="8">
                  <c:v>تطوير الأعمال</c:v>
                </c:pt>
                <c:pt idx="9">
                  <c:v>مدراء المناطق</c:v>
                </c:pt>
              </c:strCache>
            </c:strRef>
          </c:cat>
          <c:val>
            <c:numRef>
              <c:f>'عدد التوصيات حسب الادارة'!$B$4:$B$13</c:f>
              <c:numCache>
                <c:formatCode>General</c:formatCode>
                <c:ptCount val="10"/>
                <c:pt idx="0">
                  <c:v>4</c:v>
                </c:pt>
                <c:pt idx="1">
                  <c:v>1</c:v>
                </c:pt>
                <c:pt idx="2">
                  <c:v>1</c:v>
                </c:pt>
                <c:pt idx="3">
                  <c:v>1</c:v>
                </c:pt>
                <c:pt idx="4">
                  <c:v>4</c:v>
                </c:pt>
                <c:pt idx="5">
                  <c:v>1</c:v>
                </c:pt>
                <c:pt idx="6">
                  <c:v>8</c:v>
                </c:pt>
                <c:pt idx="7">
                  <c:v>4</c:v>
                </c:pt>
                <c:pt idx="8">
                  <c:v>2</c:v>
                </c:pt>
                <c:pt idx="9">
                  <c:v>1</c:v>
                </c:pt>
              </c:numCache>
            </c:numRef>
          </c:val>
          <c:extLst>
            <c:ext xmlns:c16="http://schemas.microsoft.com/office/drawing/2014/chart" uri="{C3380CC4-5D6E-409C-BE32-E72D297353CC}">
              <c16:uniqueId val="{00000003-FC66-483A-AAEC-3673E87F2FD7}"/>
            </c:ext>
          </c:extLst>
        </c:ser>
        <c:dLbls>
          <c:dLblPos val="outEnd"/>
          <c:showLegendKey val="0"/>
          <c:showVal val="1"/>
          <c:showCatName val="0"/>
          <c:showSerName val="0"/>
          <c:showPercent val="0"/>
          <c:showBubbleSize val="0"/>
        </c:dLbls>
        <c:gapWidth val="219"/>
        <c:overlap val="-27"/>
        <c:axId val="1312487407"/>
        <c:axId val="692733279"/>
      </c:barChart>
      <c:catAx>
        <c:axId val="1312487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92733279"/>
        <c:crosses val="autoZero"/>
        <c:auto val="1"/>
        <c:lblAlgn val="ctr"/>
        <c:lblOffset val="100"/>
        <c:noMultiLvlLbl val="0"/>
      </c:catAx>
      <c:valAx>
        <c:axId val="69273327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12487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[real-client-task1.xlsx]عدد التوصيات حسب الاولوية!PivotTable14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chemeClr val="tx1"/>
                </a:solidFill>
              </a:rPr>
              <a:t>عدد</a:t>
            </a:r>
            <a:r>
              <a:rPr lang="ar-EG" b="1" baseline="0">
                <a:solidFill>
                  <a:schemeClr val="tx1"/>
                </a:solidFill>
              </a:rPr>
              <a:t> التوصيات حسب الاولوية</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'عدد التوصيات حسب الاولوية'!$B$3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7E-4206-93E0-6DE49A4DC0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7E-4206-93E0-6DE49A4DC0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7E-4206-93E0-6DE49A4DC0DF}"/>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'عدد التوصيات حسب الاولوية'!$A$4:$A$6</c:f>
              <c:strCache>
                <c:ptCount val="3"/>
                <c:pt idx="0">
                  <c:v>عالية  </c:v>
                </c:pt>
                <c:pt idx="1">
                  <c:v>متوسطة </c:v>
                </c:pt>
                <c:pt idx="2">
                  <c:v>منخفضة</c:v>
                </c:pt>
              </c:strCache>
            </c:strRef>
          </c:cat>
          <c:val>
            <c:numRef>
              <c:f>'عدد التوصيات حسب الاولوية'!$B$4:$B$6</c:f>
              <c:numCache>
                <c:formatCode>General</c:formatCode>
                <c:ptCount val="3"/>
                <c:pt idx="0">
                  <c:v>15</c:v>
                </c:pt>
                <c:pt idx="1">
                  <c:v>9</c:v>
                </c:pt>
                <c:pt idx="2">
                  <c:v>3</c:v>
                </c:pt>
              </c:numCache>
            </c:numRef>
          </c:val>
          <c:extLst>
            <c:ext xmlns:c16="http://schemas.microsoft.com/office/drawing/2014/chart" uri="{C3380CC4-5D6E-409C-BE32-E72D297353CC}">
              <c16:uniqueId val="{00000009-30E5-441C-B3CA-D25804653B1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[real-client-task1.xlsx]الخط الزمني!PivotTable16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chemeClr val="tx1"/>
                </a:solidFill>
              </a:rPr>
              <a:t>الخط الزمني</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'الخط الزمني'!$B$3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'الخط الزمني'!$A$4:$A$8</c:f>
              <c:strCache>
                <c:ptCount val="5"/>
                <c:pt idx="0">
                  <c:v>10/27/2021</c:v>
                </c:pt>
                <c:pt idx="1">
                  <c:v>6/19/2022</c:v>
                </c:pt>
                <c:pt idx="2">
                  <c:v>6/30/2022</c:v>
                </c:pt>
                <c:pt idx="3">
                  <c:v>1/2/2022</c:v>
                </c:pt>
                <c:pt idx="4">
                  <c:v>1/1/2022</c:v>
                </c:pt>
              </c:strCache>
            </c:strRef>
          </c:cat>
          <c:val>
            <c:numRef>
              <c:f>'الخط الزمني'!$B$4:$B$8</c:f>
              <c:numCache>
                <c:formatCode>General</c:formatCode>
                <c:ptCount val="5"/>
                <c:pt idx="0">
                  <c:v>26</c:v>
                </c:pt>
                <c:pt idx="1">
                  <c:v>23</c:v>
                </c:pt>
                <c:pt idx="2">
                  <c:v>11</c:v>
                </c:pt>
                <c:pt idx="3">
                  <c:v>1</c:v>
                </c:pt>
                <c:pt idx="4">
                  <c:v>4</c:v>
                </c:pt>
              </c:numCache>
            </c:numRef>
          </c:val>
          <c:smooth val="0"/>
          <c:extLst>
            <c:ext xmlns:c16="http://schemas.microsoft.com/office/drawing/2014/chart" uri="{C3380CC4-5D6E-409C-BE32-E72D297353CC}">
              <c16:uniqueId val="{00000003-CCED-4768-A1A4-03D717F20125}"/>
            </c:ext>
          </c:extLst>
        </c:ser>
        <c:dLbls>
          <c:dLblPos val="b"/>
          <c:showLegendKey val="0"/>
          <c:showVal val="1"/>
          <c:showCatName val="0"/>
          <c:showSerName val="0"/>
          <c:showPercent val="0"/>
          <c:showBubbleSize val="0"/>
        </c:dLbls>
        <c:marker val="1"/>
        <c:smooth val="0"/>
        <c:axId val="1566769247"/>
        <c:axId val="1566771647"/>
      </c:lineChart>
      <c:catAx>
        <c:axId val="156676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66771647"/>
        <c:crosses val="autoZero"/>
        <c:auto val="1"/>
        <c:lblAlgn val="ctr"/>
        <c:lblOffset val="100"/>
        <c:noMultiLvlLbl val="0"/>
      </c:catAx>
      <c:valAx>
        <c:axId val="15667716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66769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63500</xdr:colOff>
      <xdr:row>1</xdr:row>
      <xdr:rowOff>67860</xdr:rowOff>
    </xdr:from>
    <xdr:to>
      <xdr:col>4</xdr:col>
      <xdr:colOff>177342</xdr:colOff>
      <xdr:row>5</xdr:row>
      <xdr:rowOff>42460</xdr:rowOff>
    </xdr:to>
    <xdr:grpSp>
      <xdr:nvGrpSpPr>
        <xdr:cNvPr id="10" name="Group 9">
          <a:extLst>
            <a:ext uri="{FF2B5EF4-FFF2-40B4-BE49-F238E27FC236}">
              <a16:creationId xmlns:a16="http://schemas.microsoft.com/office/drawing/2014/main" id="{494F65EA-E460-DEB8-48EB-CC57C324C9F5}"/>
            </a:ext>
          </a:extLst>
        </xdr:cNvPr>
        <xdr:cNvGrpSpPr/>
      </xdr:nvGrpSpPr>
      <xdr:grpSpPr>
        <a:xfrm>
          <a:off x="9917341262" y="156465"/>
          <a:ext cx="1930238" cy="698204"/>
          <a:chOff x="9984798550" y="1420068"/>
          <a:chExt cx="1587500" cy="723900"/>
        </a:xfrm>
      </xdr:grpSpPr>
      <xdr:sp macro="" textlink="">
        <xdr:nvSpPr>
          <xdr:cNvPr id="2" name="اجمالي الاجتماعات">
            <a:extLst>
              <a:ext uri="{FF2B5EF4-FFF2-40B4-BE49-F238E27FC236}">
                <a16:creationId xmlns:a16="http://schemas.microsoft.com/office/drawing/2014/main" id="{8B75304B-98DD-4703-07C1-38F66C51B733}"/>
              </a:ext>
            </a:extLst>
          </xdr:cNvPr>
          <xdr:cNvSpPr/>
        </xdr:nvSpPr>
        <xdr:spPr>
          <a:xfrm>
            <a:off x="9984798550" y="1420068"/>
            <a:ext cx="1587500" cy="723900"/>
          </a:xfrm>
          <a:prstGeom prst="roundRect">
            <a:avLst/>
          </a:prstGeom>
          <a:solidFill>
            <a:schemeClr val="accent1">
              <a:lumMod val="60000"/>
              <a:lumOff val="4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b="1" cap="none" spc="0">
              <a:ln w="0"/>
              <a:solidFill>
                <a:schemeClr val="tx1"/>
              </a:solidFill>
              <a:effectLst>
                <a:outerShdw blurRad="38100" dist="19050" dir="2700000" algn="tl" rotWithShape="0">
                  <a:schemeClr val="dk1">
                    <a:alpha val="40000"/>
                  </a:schemeClr>
                </a:outerShdw>
              </a:effectLst>
            </a:endParaRPr>
          </a:p>
        </xdr:txBody>
      </xdr:sp>
      <xdr:sp macro="" textlink="$C$3">
        <xdr:nvSpPr>
          <xdr:cNvPr id="9" name="TextBox 8">
            <a:extLst>
              <a:ext uri="{FF2B5EF4-FFF2-40B4-BE49-F238E27FC236}">
                <a16:creationId xmlns:a16="http://schemas.microsoft.com/office/drawing/2014/main" id="{0552F176-7E17-E9E7-354D-8E6FC589D35B}"/>
              </a:ext>
            </a:extLst>
          </xdr:cNvPr>
          <xdr:cNvSpPr txBox="1"/>
        </xdr:nvSpPr>
        <xdr:spPr>
          <a:xfrm>
            <a:off x="9984905100" y="1460500"/>
            <a:ext cx="14224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fld id="{5F88873F-4B57-4F53-B4EE-C42E861B282D}" type="TxLink">
              <a:rPr lang="ar-EG" sz="1100" b="1" i="0" u="none" strike="noStrike">
                <a:solidFill>
                  <a:srgbClr val="000000"/>
                </a:solidFill>
                <a:latin typeface="Calibri"/>
                <a:ea typeface="Calibri"/>
                <a:cs typeface="Calibri"/>
              </a:rPr>
              <a:pPr algn="r" rtl="1"/>
              <a:t>#REF!</a:t>
            </a:fld>
            <a:endParaRPr lang="en-US" sz="1100" b="1">
              <a:noFill/>
            </a:endParaRPr>
          </a:p>
        </xdr:txBody>
      </xdr:sp>
    </xdr:grpSp>
    <xdr:clientData/>
  </xdr:twoCellAnchor>
  <xdr:twoCellAnchor>
    <xdr:from>
      <xdr:col>4</xdr:col>
      <xdr:colOff>213669</xdr:colOff>
      <xdr:row>1</xdr:row>
      <xdr:rowOff>62871</xdr:rowOff>
    </xdr:from>
    <xdr:to>
      <xdr:col>6</xdr:col>
      <xdr:colOff>584486</xdr:colOff>
      <xdr:row>5</xdr:row>
      <xdr:rowOff>37471</xdr:rowOff>
    </xdr:to>
    <xdr:grpSp>
      <xdr:nvGrpSpPr>
        <xdr:cNvPr id="11" name="Group 10">
          <a:extLst>
            <a:ext uri="{FF2B5EF4-FFF2-40B4-BE49-F238E27FC236}">
              <a16:creationId xmlns:a16="http://schemas.microsoft.com/office/drawing/2014/main" id="{962B589D-10F2-4D92-889F-E3138714E7C2}"/>
            </a:ext>
          </a:extLst>
        </xdr:cNvPr>
        <xdr:cNvGrpSpPr/>
      </xdr:nvGrpSpPr>
      <xdr:grpSpPr>
        <a:xfrm>
          <a:off x="9915723188" y="151476"/>
          <a:ext cx="1581747" cy="698204"/>
          <a:chOff x="9984809850" y="1397000"/>
          <a:chExt cx="1587500" cy="723900"/>
        </a:xfrm>
      </xdr:grpSpPr>
      <xdr:sp macro="" textlink="">
        <xdr:nvSpPr>
          <xdr:cNvPr id="12" name="اجمالي الاجتماعات">
            <a:extLst>
              <a:ext uri="{FF2B5EF4-FFF2-40B4-BE49-F238E27FC236}">
                <a16:creationId xmlns:a16="http://schemas.microsoft.com/office/drawing/2014/main" id="{DF8B53A2-0D90-8ECA-CB2F-1EA3E4887058}"/>
              </a:ext>
            </a:extLst>
          </xdr:cNvPr>
          <xdr:cNvSpPr/>
        </xdr:nvSpPr>
        <xdr:spPr>
          <a:xfrm>
            <a:off x="9984809850" y="1397000"/>
            <a:ext cx="1587500" cy="723900"/>
          </a:xfrm>
          <a:prstGeom prst="roundRect">
            <a:avLst/>
          </a:prstGeom>
          <a:solidFill>
            <a:schemeClr val="accent1">
              <a:lumMod val="60000"/>
              <a:lumOff val="4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b="1" cap="none" spc="0">
              <a:ln w="0"/>
              <a:solidFill>
                <a:schemeClr val="tx1"/>
              </a:solidFill>
              <a:effectLst>
                <a:outerShdw blurRad="38100" dist="19050" dir="2700000" algn="tl" rotWithShape="0">
                  <a:schemeClr val="dk1">
                    <a:alpha val="40000"/>
                  </a:schemeClr>
                </a:outerShdw>
              </a:effectLst>
            </a:endParaRPr>
          </a:p>
        </xdr:txBody>
      </xdr:sp>
      <xdr:sp macro="" textlink="$E$3">
        <xdr:nvSpPr>
          <xdr:cNvPr id="13" name="TextBox 12">
            <a:extLst>
              <a:ext uri="{FF2B5EF4-FFF2-40B4-BE49-F238E27FC236}">
                <a16:creationId xmlns:a16="http://schemas.microsoft.com/office/drawing/2014/main" id="{D26A4D02-B0D0-0D00-94AF-11F263F1F422}"/>
              </a:ext>
            </a:extLst>
          </xdr:cNvPr>
          <xdr:cNvSpPr txBox="1"/>
        </xdr:nvSpPr>
        <xdr:spPr>
          <a:xfrm>
            <a:off x="9984905100" y="1460500"/>
            <a:ext cx="14224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fld id="{E1FCCCC9-589A-4B0A-B0B5-67F7B0DFC915}" type="TxLink">
              <a:rPr lang="ar-EG" sz="1100" b="1" i="0" u="none" strike="noStrike">
                <a:solidFill>
                  <a:srgbClr val="000000"/>
                </a:solidFill>
                <a:latin typeface="Calibri"/>
                <a:ea typeface="Calibri"/>
                <a:cs typeface="Calibri"/>
              </a:rPr>
              <a:pPr algn="r" rtl="1"/>
              <a:t>التوصيات قيد التنفيذ:
27</a:t>
            </a:fld>
            <a:endParaRPr lang="en-US" sz="1100" b="1">
              <a:noFill/>
            </a:endParaRPr>
          </a:p>
        </xdr:txBody>
      </xdr:sp>
    </xdr:grpSp>
    <xdr:clientData/>
  </xdr:twoCellAnchor>
  <xdr:twoCellAnchor>
    <xdr:from>
      <xdr:col>7</xdr:col>
      <xdr:colOff>85233</xdr:colOff>
      <xdr:row>1</xdr:row>
      <xdr:rowOff>59038</xdr:rowOff>
    </xdr:from>
    <xdr:to>
      <xdr:col>9</xdr:col>
      <xdr:colOff>352047</xdr:colOff>
      <xdr:row>5</xdr:row>
      <xdr:rowOff>33638</xdr:rowOff>
    </xdr:to>
    <xdr:grpSp>
      <xdr:nvGrpSpPr>
        <xdr:cNvPr id="14" name="Group 13">
          <a:extLst>
            <a:ext uri="{FF2B5EF4-FFF2-40B4-BE49-F238E27FC236}">
              <a16:creationId xmlns:a16="http://schemas.microsoft.com/office/drawing/2014/main" id="{442E00F7-9D9D-4506-9C3A-CE4194720E49}"/>
            </a:ext>
          </a:extLst>
        </xdr:cNvPr>
        <xdr:cNvGrpSpPr/>
      </xdr:nvGrpSpPr>
      <xdr:grpSpPr>
        <a:xfrm>
          <a:off x="9914139232" y="147643"/>
          <a:ext cx="1477744" cy="698204"/>
          <a:chOff x="9984810465" y="1397000"/>
          <a:chExt cx="1587500" cy="723900"/>
        </a:xfrm>
      </xdr:grpSpPr>
      <xdr:sp macro="" textlink="">
        <xdr:nvSpPr>
          <xdr:cNvPr id="15" name="اجمالي الاجتماعات">
            <a:extLst>
              <a:ext uri="{FF2B5EF4-FFF2-40B4-BE49-F238E27FC236}">
                <a16:creationId xmlns:a16="http://schemas.microsoft.com/office/drawing/2014/main" id="{8A76966F-4E25-8633-9A00-4BB5D546E1F8}"/>
              </a:ext>
            </a:extLst>
          </xdr:cNvPr>
          <xdr:cNvSpPr/>
        </xdr:nvSpPr>
        <xdr:spPr>
          <a:xfrm>
            <a:off x="9984810465" y="1397000"/>
            <a:ext cx="1587500" cy="723900"/>
          </a:xfrm>
          <a:prstGeom prst="roundRect">
            <a:avLst/>
          </a:prstGeom>
          <a:solidFill>
            <a:schemeClr val="accent1">
              <a:lumMod val="60000"/>
              <a:lumOff val="4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b="1" cap="none" spc="0">
              <a:ln w="0"/>
              <a:solidFill>
                <a:schemeClr val="tx1"/>
              </a:solidFill>
              <a:effectLst>
                <a:outerShdw blurRad="38100" dist="19050" dir="2700000" algn="tl" rotWithShape="0">
                  <a:schemeClr val="dk1">
                    <a:alpha val="40000"/>
                  </a:schemeClr>
                </a:outerShdw>
              </a:effectLst>
            </a:endParaRPr>
          </a:p>
        </xdr:txBody>
      </xdr:sp>
      <xdr:sp macro="" textlink="$H$3">
        <xdr:nvSpPr>
          <xdr:cNvPr id="16" name="TextBox 15">
            <a:extLst>
              <a:ext uri="{FF2B5EF4-FFF2-40B4-BE49-F238E27FC236}">
                <a16:creationId xmlns:a16="http://schemas.microsoft.com/office/drawing/2014/main" id="{809ED361-28D2-5619-1E88-DD5157719B06}"/>
              </a:ext>
            </a:extLst>
          </xdr:cNvPr>
          <xdr:cNvSpPr txBox="1"/>
        </xdr:nvSpPr>
        <xdr:spPr>
          <a:xfrm>
            <a:off x="9984905100" y="1460500"/>
            <a:ext cx="14224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fld id="{6B008830-90C5-4994-AF76-E5D21B7482C4}" type="TxLink">
              <a:rPr lang="ar-EG" sz="1100" b="1" i="0" u="none" strike="noStrike">
                <a:solidFill>
                  <a:srgbClr val="000000"/>
                </a:solidFill>
                <a:latin typeface="Calibri"/>
                <a:ea typeface="Calibri"/>
                <a:cs typeface="Calibri"/>
              </a:rPr>
              <a:pPr algn="r" rtl="1"/>
              <a:t>#REF!</a:t>
            </a:fld>
            <a:endParaRPr lang="en-US" sz="1100" b="1">
              <a:noFill/>
            </a:endParaRPr>
          </a:p>
        </xdr:txBody>
      </xdr:sp>
    </xdr:grpSp>
    <xdr:clientData/>
  </xdr:twoCellAnchor>
  <xdr:twoCellAnchor>
    <xdr:from>
      <xdr:col>9</xdr:col>
      <xdr:colOff>429053</xdr:colOff>
      <xdr:row>1</xdr:row>
      <xdr:rowOff>63500</xdr:rowOff>
    </xdr:from>
    <xdr:to>
      <xdr:col>11</xdr:col>
      <xdr:colOff>590550</xdr:colOff>
      <xdr:row>5</xdr:row>
      <xdr:rowOff>38100</xdr:rowOff>
    </xdr:to>
    <xdr:grpSp>
      <xdr:nvGrpSpPr>
        <xdr:cNvPr id="17" name="Group 16">
          <a:extLst>
            <a:ext uri="{FF2B5EF4-FFF2-40B4-BE49-F238E27FC236}">
              <a16:creationId xmlns:a16="http://schemas.microsoft.com/office/drawing/2014/main" id="{059CBD32-494B-4870-A60A-9714C14ECE6F}"/>
            </a:ext>
          </a:extLst>
        </xdr:cNvPr>
        <xdr:cNvGrpSpPr/>
      </xdr:nvGrpSpPr>
      <xdr:grpSpPr>
        <a:xfrm>
          <a:off x="9912689798" y="152105"/>
          <a:ext cx="1372428" cy="698204"/>
          <a:chOff x="9984809850" y="1397000"/>
          <a:chExt cx="1587500" cy="723900"/>
        </a:xfrm>
      </xdr:grpSpPr>
      <xdr:sp macro="" textlink="">
        <xdr:nvSpPr>
          <xdr:cNvPr id="18" name="اجمالي الاجتماعات">
            <a:extLst>
              <a:ext uri="{FF2B5EF4-FFF2-40B4-BE49-F238E27FC236}">
                <a16:creationId xmlns:a16="http://schemas.microsoft.com/office/drawing/2014/main" id="{4BDE0D8C-1CF6-30CC-C7E9-A1FEC986FFCE}"/>
              </a:ext>
            </a:extLst>
          </xdr:cNvPr>
          <xdr:cNvSpPr/>
        </xdr:nvSpPr>
        <xdr:spPr>
          <a:xfrm>
            <a:off x="9984809850" y="1397000"/>
            <a:ext cx="1587500" cy="723900"/>
          </a:xfrm>
          <a:prstGeom prst="roundRect">
            <a:avLst/>
          </a:prstGeom>
          <a:solidFill>
            <a:schemeClr val="accent1">
              <a:lumMod val="60000"/>
              <a:lumOff val="4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b="1" cap="none" spc="0">
              <a:ln w="0"/>
              <a:solidFill>
                <a:schemeClr val="tx1"/>
              </a:solidFill>
              <a:effectLst>
                <a:outerShdw blurRad="38100" dist="19050" dir="2700000" algn="tl" rotWithShape="0">
                  <a:schemeClr val="dk1">
                    <a:alpha val="40000"/>
                  </a:schemeClr>
                </a:outerShdw>
              </a:effectLst>
            </a:endParaRPr>
          </a:p>
        </xdr:txBody>
      </xdr:sp>
      <xdr:sp macro="" textlink="$K$3">
        <xdr:nvSpPr>
          <xdr:cNvPr id="19" name="TextBox 18">
            <a:extLst>
              <a:ext uri="{FF2B5EF4-FFF2-40B4-BE49-F238E27FC236}">
                <a16:creationId xmlns:a16="http://schemas.microsoft.com/office/drawing/2014/main" id="{53CE76D3-F6CB-22A5-96A2-08359706B443}"/>
              </a:ext>
            </a:extLst>
          </xdr:cNvPr>
          <xdr:cNvSpPr txBox="1"/>
        </xdr:nvSpPr>
        <xdr:spPr>
          <a:xfrm>
            <a:off x="9984905100" y="1460500"/>
            <a:ext cx="14224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fld id="{13429D6A-C77F-4235-9BB9-5946537A82BA}" type="TxLink">
              <a:rPr lang="ar-EG" sz="1100" b="1" i="0" u="none" strike="noStrike">
                <a:solidFill>
                  <a:srgbClr val="000000"/>
                </a:solidFill>
                <a:latin typeface="Calibri"/>
                <a:ea typeface="Calibri"/>
                <a:cs typeface="Calibri"/>
              </a:rPr>
              <a:pPr algn="r" rtl="1"/>
              <a:t>نسبة الاكمال
62.9%</a:t>
            </a:fld>
            <a:endParaRPr lang="en-US" sz="1100" b="1" i="0" u="none" strike="noStrike">
              <a:solidFill>
                <a:srgbClr val="000000"/>
              </a:solidFill>
              <a:latin typeface="Calibri"/>
              <a:ea typeface="Calibri"/>
              <a:cs typeface="Calibri"/>
            </a:endParaRPr>
          </a:p>
        </xdr:txBody>
      </xdr:sp>
    </xdr:grpSp>
    <xdr:clientData/>
  </xdr:twoCellAnchor>
  <xdr:twoCellAnchor>
    <xdr:from>
      <xdr:col>12</xdr:col>
      <xdr:colOff>32691</xdr:colOff>
      <xdr:row>1</xdr:row>
      <xdr:rowOff>63500</xdr:rowOff>
    </xdr:from>
    <xdr:to>
      <xdr:col>14</xdr:col>
      <xdr:colOff>400991</xdr:colOff>
      <xdr:row>5</xdr:row>
      <xdr:rowOff>38100</xdr:rowOff>
    </xdr:to>
    <xdr:grpSp>
      <xdr:nvGrpSpPr>
        <xdr:cNvPr id="23" name="Group 22">
          <a:extLst>
            <a:ext uri="{FF2B5EF4-FFF2-40B4-BE49-F238E27FC236}">
              <a16:creationId xmlns:a16="http://schemas.microsoft.com/office/drawing/2014/main" id="{2EA3CD05-9C83-4C06-A038-A7D22CCC188E}"/>
            </a:ext>
          </a:extLst>
        </xdr:cNvPr>
        <xdr:cNvGrpSpPr/>
      </xdr:nvGrpSpPr>
      <xdr:grpSpPr>
        <a:xfrm>
          <a:off x="9911062962" y="152105"/>
          <a:ext cx="1579230" cy="698204"/>
          <a:chOff x="9984809850" y="1397000"/>
          <a:chExt cx="1587500" cy="723900"/>
        </a:xfrm>
      </xdr:grpSpPr>
      <xdr:sp macro="" textlink="">
        <xdr:nvSpPr>
          <xdr:cNvPr id="24" name="اجمالي الاجتماعات">
            <a:extLst>
              <a:ext uri="{FF2B5EF4-FFF2-40B4-BE49-F238E27FC236}">
                <a16:creationId xmlns:a16="http://schemas.microsoft.com/office/drawing/2014/main" id="{8805D2CE-BA17-409C-4061-6BCF1AA70D72}"/>
              </a:ext>
            </a:extLst>
          </xdr:cNvPr>
          <xdr:cNvSpPr/>
        </xdr:nvSpPr>
        <xdr:spPr>
          <a:xfrm>
            <a:off x="9984809850" y="1397000"/>
            <a:ext cx="1587500" cy="723900"/>
          </a:xfrm>
          <a:prstGeom prst="roundRect">
            <a:avLst/>
          </a:prstGeom>
          <a:solidFill>
            <a:schemeClr val="accent1">
              <a:lumMod val="60000"/>
              <a:lumOff val="40000"/>
            </a:schemeClr>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b="1" cap="none" spc="0">
              <a:ln w="0"/>
              <a:solidFill>
                <a:schemeClr val="tx1"/>
              </a:solidFill>
              <a:effectLst>
                <a:outerShdw blurRad="38100" dist="19050" dir="2700000" algn="tl" rotWithShape="0">
                  <a:schemeClr val="dk1">
                    <a:alpha val="40000"/>
                  </a:schemeClr>
                </a:outerShdw>
              </a:effectLst>
            </a:endParaRPr>
          </a:p>
        </xdr:txBody>
      </xdr:sp>
      <xdr:sp macro="" textlink="$M$3">
        <xdr:nvSpPr>
          <xdr:cNvPr id="25" name="TextBox 24">
            <a:extLst>
              <a:ext uri="{FF2B5EF4-FFF2-40B4-BE49-F238E27FC236}">
                <a16:creationId xmlns:a16="http://schemas.microsoft.com/office/drawing/2014/main" id="{C2B07306-C774-CC6E-95BF-D78A15BF8B90}"/>
              </a:ext>
            </a:extLst>
          </xdr:cNvPr>
          <xdr:cNvSpPr txBox="1"/>
        </xdr:nvSpPr>
        <xdr:spPr>
          <a:xfrm>
            <a:off x="9984905100" y="1460500"/>
            <a:ext cx="1422400"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fld id="{AA86E809-16CB-4918-8989-81A41869BC37}" type="TxLink">
              <a:rPr lang="en-US" sz="1100" b="1" i="0" u="none" strike="noStrike">
                <a:solidFill>
                  <a:srgbClr val="000000"/>
                </a:solidFill>
                <a:latin typeface="Calibri"/>
                <a:ea typeface="Calibri"/>
                <a:cs typeface="Calibri"/>
              </a:rPr>
              <a:pPr algn="r" rtl="1"/>
              <a:t> اجمالي عدد التوصيات:
27</a:t>
            </a:fld>
            <a:endParaRPr lang="en-US" sz="1100" b="1" i="0" u="none" strike="noStrike">
              <a:solidFill>
                <a:srgbClr val="000000"/>
              </a:solidFill>
              <a:latin typeface="Calibri"/>
              <a:ea typeface="Calibri"/>
              <a:cs typeface="Calibri"/>
            </a:endParaRPr>
          </a:p>
        </xdr:txBody>
      </xdr:sp>
    </xdr:grpSp>
    <xdr:clientData/>
  </xdr:twoCellAnchor>
  <xdr:twoCellAnchor editAs="oneCell">
    <xdr:from>
      <xdr:col>14</xdr:col>
      <xdr:colOff>558495</xdr:colOff>
      <xdr:row>1</xdr:row>
      <xdr:rowOff>107108</xdr:rowOff>
    </xdr:from>
    <xdr:to>
      <xdr:col>17</xdr:col>
      <xdr:colOff>298373</xdr:colOff>
      <xdr:row>8</xdr:row>
      <xdr:rowOff>7650</xdr:rowOff>
    </xdr:to>
    <mc:AlternateContent xmlns:mc="http://schemas.openxmlformats.org/markup-compatibility/2006" xmlns:a14="http://schemas.microsoft.com/office/drawing/2010/main">
      <mc:Choice Requires="a14">
        <xdr:graphicFrame macro="">
          <xdr:nvGraphicFramePr>
            <xdr:cNvPr id="26" name="الحالة">
              <a:extLst>
                <a:ext uri="{FF2B5EF4-FFF2-40B4-BE49-F238E27FC236}">
                  <a16:creationId xmlns:a16="http://schemas.microsoft.com/office/drawing/2014/main" id="{AB5BE00E-782D-4405-8F73-3A9B72FAAA70}"/>
                </a:ext>
              </a:extLst>
            </xdr:cNvPr>
            <xdr:cNvGraphicFramePr/>
          </xdr:nvGraphicFramePr>
          <xdr:xfrm>
            <a:off x="0" y="0"/>
            <a:ext cx="0" cy="0"/>
          </xdr:xfrm>
          <a:graphic>
            <a:graphicData uri="http://schemas.microsoft.com/office/drawing/2010/slicer">
              <sle:slicer xmlns:sle="http://schemas.microsoft.com/office/drawing/2010/slicer" name="الحالة"/>
            </a:graphicData>
          </a:graphic>
        </xdr:graphicFrame>
      </mc:Choice>
      <mc:Fallback xmlns="">
        <xdr:sp macro="" textlink="">
          <xdr:nvSpPr>
            <xdr:cNvPr id="0" name=""/>
            <xdr:cNvSpPr>
              <a:spLocks noTextEdit="1"/>
            </xdr:cNvSpPr>
          </xdr:nvSpPr>
          <xdr:spPr>
            <a:xfrm>
              <a:off x="9985176235" y="206716"/>
              <a:ext cx="1570172" cy="12203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38253</xdr:colOff>
      <xdr:row>5</xdr:row>
      <xdr:rowOff>137711</xdr:rowOff>
    </xdr:from>
    <xdr:to>
      <xdr:col>8</xdr:col>
      <xdr:colOff>33815</xdr:colOff>
      <xdr:row>18</xdr:row>
      <xdr:rowOff>81173</xdr:rowOff>
    </xdr:to>
    <xdr:graphicFrame macro="">
      <xdr:nvGraphicFramePr>
        <xdr:cNvPr id="28" name="Chart 27">
          <a:extLst>
            <a:ext uri="{FF2B5EF4-FFF2-40B4-BE49-F238E27FC236}">
              <a16:creationId xmlns:a16="http://schemas.microsoft.com/office/drawing/2014/main" id="{EBEFECF9-8E24-4230-87E3-5CC45A589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110084</xdr:colOff>
      <xdr:row>5</xdr:row>
      <xdr:rowOff>164771</xdr:rowOff>
    </xdr:from>
    <xdr:to>
      <xdr:col>14</xdr:col>
      <xdr:colOff>462013</xdr:colOff>
      <xdr:row>18</xdr:row>
      <xdr:rowOff>103566</xdr:rowOff>
    </xdr:to>
    <xdr:graphicFrame macro="">
      <xdr:nvGraphicFramePr>
        <xdr:cNvPr id="29" name="Chart 28">
          <a:extLst>
            <a:ext uri="{FF2B5EF4-FFF2-40B4-BE49-F238E27FC236}">
              <a16:creationId xmlns:a16="http://schemas.microsoft.com/office/drawing/2014/main" id="{1DEF60F6-80F8-434F-B76B-5ABC1C57C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19</xdr:row>
      <xdr:rowOff>0</xdr:rowOff>
    </xdr:from>
    <xdr:to>
      <xdr:col>14</xdr:col>
      <xdr:colOff>497289</xdr:colOff>
      <xdr:row>33</xdr:row>
      <xdr:rowOff>172598</xdr:rowOff>
    </xdr:to>
    <xdr:graphicFrame macro="">
      <xdr:nvGraphicFramePr>
        <xdr:cNvPr id="30" name="Chart 29">
          <a:extLst>
            <a:ext uri="{FF2B5EF4-FFF2-40B4-BE49-F238E27FC236}">
              <a16:creationId xmlns:a16="http://schemas.microsoft.com/office/drawing/2014/main" id="{60C73567-F395-41C7-BAC3-D4AD5D56C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550844</xdr:colOff>
      <xdr:row>8</xdr:row>
      <xdr:rowOff>76506</xdr:rowOff>
    </xdr:from>
    <xdr:to>
      <xdr:col>17</xdr:col>
      <xdr:colOff>336626</xdr:colOff>
      <xdr:row>17</xdr:row>
      <xdr:rowOff>81410</xdr:rowOff>
    </xdr:to>
    <mc:AlternateContent xmlns:mc="http://schemas.openxmlformats.org/markup-compatibility/2006" xmlns:a14="http://schemas.microsoft.com/office/drawing/2010/main">
      <mc:Choice Requires="a14">
        <xdr:graphicFrame macro="">
          <xdr:nvGraphicFramePr>
            <xdr:cNvPr id="31" name="الادارات">
              <a:extLst>
                <a:ext uri="{FF2B5EF4-FFF2-40B4-BE49-F238E27FC236}">
                  <a16:creationId xmlns:a16="http://schemas.microsoft.com/office/drawing/2014/main" id="{88801304-8E15-4AD3-8116-41A57CDADD76}"/>
                </a:ext>
              </a:extLst>
            </xdr:cNvPr>
            <xdr:cNvGraphicFramePr/>
          </xdr:nvGraphicFramePr>
          <xdr:xfrm>
            <a:off x="0" y="0"/>
            <a:ext cx="0" cy="0"/>
          </xdr:xfrm>
          <a:graphic>
            <a:graphicData uri="http://schemas.microsoft.com/office/drawing/2010/slicer">
              <sle:slicer xmlns:sle="http://schemas.microsoft.com/office/drawing/2010/slicer" name="الادارات"/>
            </a:graphicData>
          </a:graphic>
        </xdr:graphicFrame>
      </mc:Choice>
      <mc:Fallback xmlns="">
        <xdr:sp macro="" textlink="">
          <xdr:nvSpPr>
            <xdr:cNvPr id="0" name=""/>
            <xdr:cNvSpPr>
              <a:spLocks noTextEdit="1"/>
            </xdr:cNvSpPr>
          </xdr:nvSpPr>
          <xdr:spPr>
            <a:xfrm>
              <a:off x="9985137982" y="1495918"/>
              <a:ext cx="1616076" cy="2568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580465</xdr:colOff>
      <xdr:row>17</xdr:row>
      <xdr:rowOff>179397</xdr:rowOff>
    </xdr:from>
    <xdr:to>
      <xdr:col>17</xdr:col>
      <xdr:colOff>320345</xdr:colOff>
      <xdr:row>25</xdr:row>
      <xdr:rowOff>119242</xdr:rowOff>
    </xdr:to>
    <mc:AlternateContent xmlns:mc="http://schemas.openxmlformats.org/markup-compatibility/2006" xmlns:tsle="http://schemas.microsoft.com/office/drawing/2012/timeslicer">
      <mc:Choice Requires="tsle">
        <xdr:graphicFrame macro="">
          <xdr:nvGraphicFramePr>
            <xdr:cNvPr id="32" name="تاريخ التنفيذ">
              <a:extLst>
                <a:ext uri="{FF2B5EF4-FFF2-40B4-BE49-F238E27FC236}">
                  <a16:creationId xmlns:a16="http://schemas.microsoft.com/office/drawing/2014/main" id="{648EE120-7AA9-4FE2-BFC5-9DEE75044005}"/>
                </a:ext>
              </a:extLst>
            </xdr:cNvPr>
            <xdr:cNvGraphicFramePr/>
          </xdr:nvGraphicFramePr>
          <xdr:xfrm>
            <a:off x="0" y="0"/>
            <a:ext cx="0" cy="0"/>
          </xdr:xfrm>
          <a:graphic>
            <a:graphicData uri="http://schemas.microsoft.com/office/drawing/2012/timeslicer">
              <tsle:timeslicer name="تاريخ التنفيذ"/>
            </a:graphicData>
          </a:graphic>
        </xdr:graphicFrame>
      </mc:Choice>
      <mc:Fallback xmlns="">
        <xdr:sp macro="" textlink="">
          <xdr:nvSpPr>
            <xdr:cNvPr id="0" name=""/>
            <xdr:cNvSpPr>
              <a:spLocks noTextEdit="1"/>
            </xdr:cNvSpPr>
          </xdr:nvSpPr>
          <xdr:spPr>
            <a:xfrm>
              <a:off x="9987800824" y="3197709"/>
              <a:ext cx="1570659" cy="139127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578012</xdr:colOff>
      <xdr:row>26</xdr:row>
      <xdr:rowOff>83984</xdr:rowOff>
    </xdr:from>
    <xdr:to>
      <xdr:col>17</xdr:col>
      <xdr:colOff>301218</xdr:colOff>
      <xdr:row>33</xdr:row>
      <xdr:rowOff>154680</xdr:rowOff>
    </xdr:to>
    <mc:AlternateContent xmlns:mc="http://schemas.openxmlformats.org/markup-compatibility/2006" xmlns:tsle="http://schemas.microsoft.com/office/drawing/2012/timeslicer">
      <mc:Choice Requires="tsle">
        <xdr:graphicFrame macro="">
          <xdr:nvGraphicFramePr>
            <xdr:cNvPr id="3" name="تاريخ التنفيذ 1">
              <a:extLst>
                <a:ext uri="{FF2B5EF4-FFF2-40B4-BE49-F238E27FC236}">
                  <a16:creationId xmlns:a16="http://schemas.microsoft.com/office/drawing/2014/main" id="{1EC9A436-D068-433F-9468-171C3BE90A7F}"/>
                </a:ext>
              </a:extLst>
            </xdr:cNvPr>
            <xdr:cNvGraphicFramePr/>
          </xdr:nvGraphicFramePr>
          <xdr:xfrm>
            <a:off x="0" y="0"/>
            <a:ext cx="0" cy="0"/>
          </xdr:xfrm>
          <a:graphic>
            <a:graphicData uri="http://schemas.microsoft.com/office/drawing/2012/timeslicer">
              <tsle:timeslicer name="تاريخ التنفيذ 1"/>
            </a:graphicData>
          </a:graphic>
        </xdr:graphicFrame>
      </mc:Choice>
      <mc:Fallback xmlns="">
        <xdr:sp macro="" textlink="">
          <xdr:nvSpPr>
            <xdr:cNvPr id="0" name=""/>
            <xdr:cNvSpPr>
              <a:spLocks noTextEdit="1"/>
            </xdr:cNvSpPr>
          </xdr:nvSpPr>
          <xdr:spPr>
            <a:xfrm>
              <a:off x="9987819951" y="4735153"/>
              <a:ext cx="1553985" cy="134069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46.87036134259" createdVersion="8" refreshedVersion="8" minRefreshableVersion="3" recordCount="65" xr:uid="{E1EB5B7E-2652-4DEE-85E3-EFD68E820F47}">
  <cacheSource type="worksheet">
    <worksheetSource name="Table5"/>
  </cacheSource>
  <cacheFields count="15">
    <cacheField name="تاريخ الاجتماع هجرى " numFmtId="14">
      <sharedItems containsBlank="1"/>
    </cacheField>
    <cacheField name="تاريخ الاجتماع ميلادى " numFmtId="14">
      <sharedItems containsBlank="1"/>
    </cacheField>
    <cacheField name="اجندة الاجتماع" numFmtId="0">
      <sharedItems containsBlank="1"/>
    </cacheField>
    <cacheField name="الادارات" numFmtId="0">
      <sharedItems containsBlank="1" count="11">
        <s v="أمانة المجلس"/>
        <s v="المالية"/>
        <s v="إدارة المعدات"/>
        <s v="إدارة المستودعات"/>
        <s v="مدراء المناطق"/>
        <s v="إدارة المشاريع"/>
        <s v="تطوير الأعمال"/>
        <s v="إدارة الشركة"/>
        <s v="إدارة المراجعة"/>
        <s v="إدارة الموارد البشرية"/>
        <m u="1"/>
      </sharedItems>
    </cacheField>
    <cacheField name="رقم التوصية" numFmtId="0">
      <sharedItems containsString="0" containsBlank="1" containsNumber="1" containsInteger="1" minValue="1" maxValue="52"/>
    </cacheField>
    <cacheField name="نص التوصية" numFmtId="0">
      <sharedItems containsBlank="1"/>
    </cacheField>
    <cacheField name="الهدف" numFmtId="0">
      <sharedItems containsBlank="1"/>
    </cacheField>
    <cacheField name="الحالة" numFmtId="0">
      <sharedItems containsBlank="1" count="4">
        <s v="جار التنفيذ "/>
        <s v="مكتمل "/>
        <s v="لم يبدأ"/>
        <m/>
      </sharedItems>
    </cacheField>
    <cacheField name="تاريخ التنفيذ" numFmtId="14">
      <sharedItems containsSemiMixedTypes="0" containsNonDate="0" containsDate="1" containsString="0" minDate="2021-10-27T00:00:00" maxDate="2022-07-01T00:00:00" count="5">
        <d v="2021-10-27T00:00:00"/>
        <d v="2022-01-02T00:00:00"/>
        <d v="2022-01-01T00:00:00"/>
        <d v="2022-06-19T00:00:00"/>
        <d v="2022-06-30T00:00:00"/>
      </sharedItems>
    </cacheField>
    <cacheField name="الادارة المسؤولة" numFmtId="0">
      <sharedItems containsBlank="1"/>
    </cacheField>
    <cacheField name="أثر التوصية" numFmtId="0">
      <sharedItems containsNonDate="0" containsString="0" containsBlank="1"/>
    </cacheField>
    <cacheField name="الأولوية" numFmtId="0">
      <sharedItems containsBlank="1" count="4">
        <s v="عالية  "/>
        <s v="متوسطة "/>
        <s v="منخفضة"/>
        <m/>
      </sharedItems>
    </cacheField>
    <cacheField name="معدل الاكمال" numFmtId="10">
      <sharedItems containsString="0" containsBlank="1" containsNumber="1" minValue="0.1" maxValue="1"/>
    </cacheField>
    <cacheField name="روابط" numFmtId="0">
      <sharedItems containsNonDate="0" containsString="0" containsBlank="1"/>
    </cacheField>
    <cacheField name="الملاحظات" numFmtId="0">
      <sharedItems containsNonDate="0" containsString="0" containsBlank="1"/>
    </cacheField>
  </cacheFields>
  <extLst>
    <ext xmlns:x14="http://schemas.microsoft.com/office/spreadsheetml/2009/9/main" uri="{725AE2AE-9491-48be-B2B4-4EB974FC3084}">
      <x14:pivotCacheDefinition pivotCacheId="626088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m/>
    <m/>
    <m/>
    <x v="0"/>
    <n v="1"/>
    <s v="تحديد مواعيد الاجتماعات مسبقًا وفق خطة معتمدة من المجلس."/>
    <s v="ضمان انتظام الاجتماعات وتحقيق متابعة مستمرة لأعمال المجلس."/>
    <x v="0"/>
    <x v="0"/>
    <s v="أمانة المجلس"/>
    <m/>
    <x v="0"/>
    <n v="0.3"/>
    <m/>
    <m/>
  </r>
  <r>
    <m/>
    <m/>
    <m/>
    <x v="0"/>
    <n v="2"/>
    <s v="توثيق محاضر الاجتماعات ومشاركتها مع الأعضاء خلال أسبوع من تاريخ الاجتماع."/>
    <s v="تعزيز الشفافية وتمكين الأعضاء من متابعة القرارات."/>
    <x v="1"/>
    <x v="0"/>
    <s v="أمانة المجلس"/>
    <m/>
    <x v="1"/>
    <n v="0.6"/>
    <m/>
    <m/>
  </r>
  <r>
    <m/>
    <m/>
    <m/>
    <x v="0"/>
    <n v="3"/>
    <s v="إعداد جدول أعمال واضح ومحدد لكل اجتماع مع توزيعه مسبقًا."/>
    <s v="رفع كفاءة الاجتماعات وزيادة فاعلية النقاش واتخاذ القرار."/>
    <x v="1"/>
    <x v="0"/>
    <s v="أمانة المجلس"/>
    <m/>
    <x v="2"/>
    <n v="0.1"/>
    <m/>
    <m/>
  </r>
  <r>
    <m/>
    <m/>
    <m/>
    <x v="0"/>
    <n v="4"/>
    <s v="متابعة تنفيذ قرارات المجلس وتقديم تقارير دورية عن التقدم المحقق."/>
    <s v="ضمان الالتزام بتنفيذ القرارات وتحقيق أهداف المجلس."/>
    <x v="2"/>
    <x v="0"/>
    <s v="أمانة المجلس"/>
    <m/>
    <x v="0"/>
    <n v="0.6"/>
    <m/>
    <m/>
  </r>
  <r>
    <m/>
    <m/>
    <m/>
    <x v="0"/>
    <n v="5"/>
    <s v="إنشاء قاعدة بيانات للقرارات السابقة للمجلس وأرشفتها إلكترونيًا."/>
    <s v="تسهيل الرجوع للقرارات السابقة وتعزيز الحوكمة المؤسسية."/>
    <x v="0"/>
    <x v="0"/>
    <s v="أمانة المجلس"/>
    <m/>
    <x v="2"/>
    <n v="0.5"/>
    <m/>
    <m/>
  </r>
  <r>
    <m/>
    <m/>
    <m/>
    <x v="0"/>
    <n v="6"/>
    <s v="تحديد مسؤوليات الأمانة العامة بدقة وفقًا للوائح المنظمة."/>
    <s v="تنظيم العمل الداخلي وتحقيق الكفاءة في تنفيذ المهام."/>
    <x v="1"/>
    <x v="0"/>
    <s v="أمانة المجلس"/>
    <m/>
    <x v="2"/>
    <n v="0.54"/>
    <m/>
    <m/>
  </r>
  <r>
    <m/>
    <m/>
    <m/>
    <x v="0"/>
    <n v="7"/>
    <s v="إعداد تقارير سنوية عن أداء المجلس وأنشطته المختلفة."/>
    <s v="تقييم الأداء السنوي وتحسين جودة عمل المجلس."/>
    <x v="0"/>
    <x v="0"/>
    <s v="أمانة المجلس"/>
    <m/>
    <x v="1"/>
    <n v="0.57999999999999996"/>
    <m/>
    <m/>
  </r>
  <r>
    <m/>
    <m/>
    <m/>
    <x v="0"/>
    <n v="8"/>
    <s v="تطوير أدوات تواصل فعّالة بين الأمانة العامة وأعضاء المجلس."/>
    <s v="تحسين التواصل وسرعة تمرير المعلومات بين الأمانة والأعضاء."/>
    <x v="0"/>
    <x v="0"/>
    <s v="أمانة المجلس"/>
    <m/>
    <x v="0"/>
    <n v="0.62"/>
    <m/>
    <m/>
  </r>
  <r>
    <m/>
    <m/>
    <m/>
    <x v="0"/>
    <n v="9"/>
    <s v="تنظيم ورش عمل تعريفية للأعضاء الجدد بالمجلس واختصاصاته."/>
    <s v="رفع مستوى جاهزية الأعضاء الجدد وضمان مساهمتهم الفاعلة."/>
    <x v="1"/>
    <x v="0"/>
    <s v="أمانة المجلس"/>
    <m/>
    <x v="1"/>
    <n v="0.66"/>
    <m/>
    <m/>
  </r>
  <r>
    <m/>
    <m/>
    <m/>
    <x v="0"/>
    <n v="10"/>
    <s v="اعتماد سياسات لحفظ وأرشفة مستندات المجلس الهامة."/>
    <s v="حماية المعلومات وضمان سريتها وسهولة الوصول إليها عند الحاجة."/>
    <x v="1"/>
    <x v="0"/>
    <s v="أمانة المجلس"/>
    <m/>
    <x v="2"/>
    <n v="0.7"/>
    <m/>
    <m/>
  </r>
  <r>
    <s v=" 21/03/1443"/>
    <s v="27/10/2021"/>
    <s v="استعراض ومناقشة القوائم الماليه الموحدة حتى 30-09-2021 م"/>
    <x v="0"/>
    <m/>
    <m/>
    <m/>
    <x v="3"/>
    <x v="0"/>
    <m/>
    <m/>
    <x v="3"/>
    <m/>
    <m/>
    <m/>
  </r>
  <r>
    <s v=" 21/03/1443"/>
    <s v="27/10/2021"/>
    <s v="استعراض ومناقشة تقرير أداء المشاريع حتى   30-09-2021 م"/>
    <x v="0"/>
    <m/>
    <m/>
    <m/>
    <x v="3"/>
    <x v="0"/>
    <m/>
    <m/>
    <x v="3"/>
    <m/>
    <m/>
    <m/>
  </r>
  <r>
    <s v=" 21/03/1443"/>
    <s v="27/10/2021"/>
    <s v="استعراض ومناقشة تقرير أداء الوحدات الإنتاجية ومصنع سبك للمنتجات الاسمنتية حتى    30-09-2021 م"/>
    <x v="0"/>
    <m/>
    <m/>
    <m/>
    <x v="3"/>
    <x v="0"/>
    <m/>
    <m/>
    <x v="3"/>
    <m/>
    <m/>
    <m/>
  </r>
  <r>
    <s v=" 21/03/1443"/>
    <s v="27/10/2021"/>
    <m/>
    <x v="0"/>
    <n v="11"/>
    <s v="الحرص على عقد الاجتماعات الدورية للمجلس كل ربع سنة"/>
    <s v="ضمان انتظام انعقاد اجتماعات المجلس لمتابعة الأعمال واتخاذ القرارات في الوقت المناسب."/>
    <x v="1"/>
    <x v="0"/>
    <s v="أمانة المجلس"/>
    <m/>
    <x v="0"/>
    <n v="1"/>
    <m/>
    <m/>
  </r>
  <r>
    <s v=" 21/03/1443"/>
    <s v="27/10/2021"/>
    <m/>
    <x v="1"/>
    <n v="12"/>
    <s v="العمل على فصل القروض بما يخص نشاط المقاولات عن الأنشطة الأخرى"/>
    <s v="تحسين دقة التحليل المالي بتمييز قروض المقاولات عن بقية الأنشطة."/>
    <x v="0"/>
    <x v="0"/>
    <s v="المالية"/>
    <m/>
    <x v="0"/>
    <n v="0.9"/>
    <m/>
    <m/>
  </r>
  <r>
    <s v=" 21/03/1443"/>
    <s v="27/10/2021"/>
    <m/>
    <x v="0"/>
    <n v="13"/>
    <s v="ضرورة إرسال ملف التقارير التي سيتم عرضها على المجلس قبل أسبوع من الاجتماع"/>
    <s v="تمكين أعضاء المجلس من الاطلاع المسبق والاستعداد للنقاش واتخاذ القرار السليم."/>
    <x v="1"/>
    <x v="0"/>
    <s v="إدارة المراجعة"/>
    <m/>
    <x v="0"/>
    <n v="1"/>
    <m/>
    <m/>
  </r>
  <r>
    <s v=" 21/03/1443"/>
    <s v="27/10/2021"/>
    <m/>
    <x v="1"/>
    <n v="14"/>
    <s v="التأكيد على استخدام أرقام المقارنة بما يتناسب مع فترة التقرير للسنة السابقة والحالية"/>
    <s v="دعم تقييم الأداء المالي وتحليل التغيرات بمرجعية مقارنة دقيقة."/>
    <x v="0"/>
    <x v="0"/>
    <s v="المالية"/>
    <m/>
    <x v="1"/>
    <n v="0.6"/>
    <m/>
    <m/>
  </r>
  <r>
    <s v=" 21/03/1443"/>
    <s v="27/10/2021"/>
    <m/>
    <x v="2"/>
    <n v="15"/>
    <s v="تقديم تقرير يوضح المعدات المستخدمة وغير المستخدمة والمعطلة"/>
    <s v="تحسين استغلال المعدات وتقليل الأعطال وتعزيز كفاءة التشغيل."/>
    <x v="0"/>
    <x v="0"/>
    <s v="إدارة المعدات"/>
    <m/>
    <x v="0"/>
    <n v="0.6"/>
    <m/>
    <m/>
  </r>
  <r>
    <s v=" 21/03/1443"/>
    <s v="27/10/2021"/>
    <m/>
    <x v="2"/>
    <n v="16"/>
    <s v="التنبيه لعدم بيع أي معدة يمكن إصلاحها"/>
    <s v="الحفاظ على أصول الشركة وتقليل الهدر المالي."/>
    <x v="0"/>
    <x v="0"/>
    <s v="إدارة المعدات"/>
    <m/>
    <x v="0"/>
    <n v="0.6"/>
    <m/>
    <m/>
  </r>
  <r>
    <s v=" 21/03/1443"/>
    <s v="27/10/2021"/>
    <m/>
    <x v="3"/>
    <n v="17"/>
    <s v="إعداد تقرير بالمخزون الراكد وتفعيل دور إدارة المستودعات"/>
    <s v="تحسين إدارة الأصول وزيادة كفاءة استخدام المخزون."/>
    <x v="0"/>
    <x v="0"/>
    <s v="إدارة المستودعات"/>
    <m/>
    <x v="0"/>
    <n v="0.5"/>
    <m/>
    <m/>
  </r>
  <r>
    <s v=" 21/03/1443"/>
    <s v="27/10/2021"/>
    <m/>
    <x v="4"/>
    <n v="18"/>
    <s v="اطلاع مدير المنطقة الغربية على تقرير لجنة المراجعة الداخلية وتقديم التوصيات"/>
    <s v="ضمان الرقابة الداخلية الجيدة وتحسين العمليات استنادًا إلى نتائج المراجعة."/>
    <x v="0"/>
    <x v="0"/>
    <s v="مدراء المناطق"/>
    <m/>
    <x v="1"/>
    <n v="0.54"/>
    <m/>
    <m/>
  </r>
  <r>
    <s v=" 21/03/1443"/>
    <s v="27/10/2021"/>
    <m/>
    <x v="1"/>
    <n v="19"/>
    <s v="إنشاء إدارة مركزية للخزينة وتحميل تكلفة التمويل بحسب الجهة المستفيدة"/>
    <s v="تعزيز الكفاءة المالية وتحقيق توزيع عادل لتكاليف التمويل."/>
    <x v="0"/>
    <x v="0"/>
    <s v="المالية"/>
    <m/>
    <x v="0"/>
    <n v="0.57999999999999996"/>
    <m/>
    <m/>
  </r>
  <r>
    <s v=" 21/03/1443"/>
    <s v="27/10/2021"/>
    <m/>
    <x v="1"/>
    <n v="20"/>
    <s v="التأكيد على إصدار القوائم المالية المدققة لسنة 2021 بموعد أقصاه فبراير 2022"/>
    <s v="الالتزام بالمعايير المالية وضمان الشفافية والمصداقية في التقارير المالية."/>
    <x v="2"/>
    <x v="1"/>
    <s v="المالية"/>
    <m/>
    <x v="0"/>
    <n v="0.3"/>
    <m/>
    <m/>
  </r>
  <r>
    <s v=" 21/03/1443"/>
    <s v="27/10/2021"/>
    <m/>
    <x v="5"/>
    <n v="21"/>
    <s v="تطوير تقرير المشاريع ليشمل مدة المشروع الإجمالية والمتبقية وشمولية جميع العقود"/>
    <s v="تحسين متابعة تنفيذ المشاريع وضمان شمولية التقارير للمشاريع كافة."/>
    <x v="1"/>
    <x v="2"/>
    <s v="إدارة المشاريع"/>
    <m/>
    <x v="2"/>
    <n v="0.66"/>
    <m/>
    <m/>
  </r>
  <r>
    <s v=" 21/03/1443"/>
    <s v="27/10/2021"/>
    <m/>
    <x v="6"/>
    <n v="22"/>
    <s v="الدخول في تحالفات مختارة للتعاقد على مشاريع متميزة"/>
    <s v="توسيع قاعدة المشاريع وتعزيز التنافسية والدخول في مشاريع ذات قيمة عالية."/>
    <x v="2"/>
    <x v="2"/>
    <s v="تطوير الأعمال"/>
    <m/>
    <x v="0"/>
    <n v="0.2"/>
    <m/>
    <m/>
  </r>
  <r>
    <s v=" 21/03/1443"/>
    <s v="27/10/2021"/>
    <m/>
    <x v="6"/>
    <n v="23"/>
    <s v="تجهيز الشركة للدخول في مشاريع الصيانة والاهتمام بها"/>
    <s v="تنويع مصادر الدخل واستغلال الفرص المتاحة في مجال الصيانة."/>
    <x v="0"/>
    <x v="2"/>
    <s v="تطوير الأعمال"/>
    <m/>
    <x v="2"/>
    <n v="0.74"/>
    <m/>
    <m/>
  </r>
  <r>
    <s v=" 21/03/1443"/>
    <s v="27/10/2021"/>
    <m/>
    <x v="5"/>
    <n v="24"/>
    <s v="التنسيق لإنهاء مشروع وعد الشمال في موعده"/>
    <s v="الالتزام بجدول تسليم المشاريع وتفادي أي تأخير محتمل."/>
    <x v="1"/>
    <x v="0"/>
    <s v="إدارة المشاريع"/>
    <m/>
    <x v="0"/>
    <n v="0.78"/>
    <m/>
    <m/>
  </r>
  <r>
    <s v=" 21/03/1443"/>
    <s v="27/10/2021"/>
    <m/>
    <x v="6"/>
    <n v="25"/>
    <s v="استهداف مشاريع بالمنطقة الغربية بقيمة 250-300 مليون ريال لعام 2021 و700 مليون لعام 2022"/>
    <s v="رفع حجم المشاريع والإيرادات عبر أهداف توسعية مدروسة."/>
    <x v="0"/>
    <x v="2"/>
    <s v="تطوير الأعمال"/>
    <m/>
    <x v="0"/>
    <n v="0.75"/>
    <m/>
    <m/>
  </r>
  <r>
    <s v=" 21/03/1443"/>
    <s v="27/10/2021"/>
    <m/>
    <x v="1"/>
    <n v="26"/>
    <s v="دراسة تطبيق سياسة إهلاك خطوط الإنتاج بناءً على ساعات التشغيل الفعلية"/>
    <s v="تحقيق دقة أعلى في حساب مصاريف الإهلاك وفقًا لاستهلاك الأصول."/>
    <x v="0"/>
    <x v="0"/>
    <s v="المالية"/>
    <m/>
    <x v="0"/>
    <n v="0.86"/>
    <m/>
    <m/>
  </r>
  <r>
    <s v=" 21/03/1443"/>
    <s v="27/10/2021"/>
    <m/>
    <x v="1"/>
    <n v="27"/>
    <s v="إعداد دراسة لجدوى فصل الوحدات الإنتاجية ومصنع المنتجات الأسمنتية في شركة مستقلة"/>
    <s v="تعزيز الكفاءة التشغيلية والمالية عبر إنشاء كيان متخصص ومستقل."/>
    <x v="1"/>
    <x v="0"/>
    <s v="المالية"/>
    <m/>
    <x v="1"/>
    <n v="0.9"/>
    <m/>
    <m/>
  </r>
  <r>
    <s v=" 21/03/1443"/>
    <s v="27/10/2021"/>
    <m/>
    <x v="0"/>
    <n v="28"/>
    <s v="الاجتماع القادم يوم 28 جمادى الآخرة 1443هـ لمراجعة المركز المالي ونتائج الأعمال"/>
    <s v="تنظيم مراجعة الأداء المالي السنوي لضمان الشفافية وتحسين الأداء المستقبلي."/>
    <x v="1"/>
    <x v="0"/>
    <s v="أمانة المجلس"/>
    <m/>
    <x v="0"/>
    <n v="1"/>
    <m/>
    <m/>
  </r>
  <r>
    <s v="20/11/1443 "/>
    <s v="19/6/2022"/>
    <s v="1- الافتتاح وكلمة رئيس مجلس الإدارة."/>
    <x v="0"/>
    <m/>
    <m/>
    <m/>
    <x v="3"/>
    <x v="3"/>
    <m/>
    <m/>
    <x v="3"/>
    <m/>
    <m/>
    <m/>
  </r>
  <r>
    <s v="20/11/1443 "/>
    <s v="19/6/2022"/>
    <s v="2- الاطلاع على القوائم المالية للشركة عن الفترة (2022/01/01 – 2022/01/31)."/>
    <x v="0"/>
    <m/>
    <m/>
    <m/>
    <x v="3"/>
    <x v="3"/>
    <m/>
    <m/>
    <x v="3"/>
    <m/>
    <m/>
    <m/>
  </r>
  <r>
    <s v="20/11/1443 "/>
    <s v="19/6/2022"/>
    <s v="3- الاطلاع على الأداء الفني للمشاريع عن الفترة (2022/01/01 – 2022/03/31)."/>
    <x v="0"/>
    <m/>
    <m/>
    <m/>
    <x v="3"/>
    <x v="3"/>
    <m/>
    <m/>
    <x v="3"/>
    <m/>
    <m/>
    <m/>
  </r>
  <r>
    <s v="20/11/1443 "/>
    <s v="19/6/2022"/>
    <s v="4- الاطلاع على تقرير لجنة المراجعة عن الوحدات الإنتاجية."/>
    <x v="0"/>
    <m/>
    <m/>
    <m/>
    <x v="3"/>
    <x v="3"/>
    <m/>
    <m/>
    <x v="3"/>
    <m/>
    <m/>
    <m/>
  </r>
  <r>
    <s v="20/11/1443 "/>
    <s v="19/6/2022"/>
    <s v="5- ما يستجد من أعمال."/>
    <x v="0"/>
    <m/>
    <m/>
    <m/>
    <x v="3"/>
    <x v="3"/>
    <m/>
    <m/>
    <x v="3"/>
    <m/>
    <m/>
    <m/>
  </r>
  <r>
    <s v="20/11/1443 "/>
    <s v="19/6/2022"/>
    <m/>
    <x v="0"/>
    <n v="29"/>
    <s v="تقديم تقرير مماثل لكل شركة بالمجموعة مثل تقرير شركة عبر المملكة"/>
    <s v="توحيد مستوى التقارير وزيادة الشفافية لمتابعة أداء جميع الشركات."/>
    <x v="1"/>
    <x v="3"/>
    <s v="أمانة المجلس"/>
    <m/>
    <x v="1"/>
    <n v="0.57999999999999996"/>
    <m/>
    <m/>
  </r>
  <r>
    <s v="20/11/1443 "/>
    <s v="19/6/2022"/>
    <m/>
    <x v="3"/>
    <n v="30"/>
    <s v="إعداد تقرير مفصل بالمخزون الراكد وعرضه على المجلس"/>
    <s v="اتخاذ قرارات بشأن إدارة وتصريف المخزون الراكد بفعالية."/>
    <x v="1"/>
    <x v="3"/>
    <s v="إدارة المستودعات"/>
    <m/>
    <x v="1"/>
    <n v="0.62"/>
    <m/>
    <m/>
  </r>
  <r>
    <s v="20/11/1443 "/>
    <s v="19/6/2022"/>
    <m/>
    <x v="1"/>
    <n v="31"/>
    <s v="منع إضافة أي مصاريف إلى بند المصروفات العمومية والإدارية مع استقلاليته"/>
    <s v="تعزيز دقة الإفصاح المالي وتحسين شفافية عرض المصروفات."/>
    <x v="0"/>
    <x v="3"/>
    <s v="المالية"/>
    <m/>
    <x v="0"/>
    <n v="0.66"/>
    <m/>
    <m/>
  </r>
  <r>
    <s v="20/11/1443 "/>
    <s v="19/6/2022"/>
    <m/>
    <x v="1"/>
    <n v="32"/>
    <s v="عمل تقرير دقيق ومفصل بتكاليف المشاريع يوضح جميع البنود"/>
    <s v="دعم اتخاذ قرارات دقيقة بشأن جدوى وكفاءة المشاريع."/>
    <x v="0"/>
    <x v="3"/>
    <s v="المالية"/>
    <m/>
    <x v="1"/>
    <n v="0.7"/>
    <m/>
    <m/>
  </r>
  <r>
    <s v="20/11/1443 "/>
    <s v="19/6/2022"/>
    <m/>
    <x v="1"/>
    <n v="33"/>
    <s v="عمل تقارير للحسابات مثل الدائنون التجاريون وآخرون"/>
    <s v="تحسين وضوح المتابعة المالية للالتزامات المختلفة."/>
    <x v="1"/>
    <x v="3"/>
    <s v="المالية"/>
    <m/>
    <x v="1"/>
    <n v="0.74"/>
    <m/>
    <m/>
  </r>
  <r>
    <s v="20/11/1443 "/>
    <s v="19/6/2022"/>
    <m/>
    <x v="1"/>
    <n v="34"/>
    <s v="إعداد تقرير عن الدائنين التجاريين وآخرين"/>
    <s v="تدقيق الالتزامات المالية وتعزيز الرقابة المالية عليها."/>
    <x v="0"/>
    <x v="3"/>
    <s v="المالية"/>
    <m/>
    <x v="1"/>
    <n v="0.78"/>
    <m/>
    <m/>
  </r>
  <r>
    <s v="20/11/1443 "/>
    <s v="19/6/2022"/>
    <m/>
    <x v="1"/>
    <n v="35"/>
    <s v="إعداد تقرير عن المطلوبات والمستحقات الأخرى"/>
    <s v="توفير صورة دقيقة وشاملة عن الوضع المالي للشركة."/>
    <x v="0"/>
    <x v="3"/>
    <s v="المالية"/>
    <m/>
    <x v="0"/>
    <n v="0.82"/>
    <m/>
    <m/>
  </r>
  <r>
    <s v="20/11/1443 "/>
    <s v="19/6/2022"/>
    <m/>
    <x v="1"/>
    <n v="36"/>
    <s v="إعداد تقرير مستحقات وسلف وعهد الموظفين"/>
    <s v="ضمان متابعة دقيقة للالتزامات المالية تجاه الموظفين."/>
    <x v="1"/>
    <x v="3"/>
    <s v="المالية"/>
    <m/>
    <x v="1"/>
    <n v="0.86"/>
    <m/>
    <m/>
  </r>
  <r>
    <s v="20/11/1443 "/>
    <s v="19/6/2022"/>
    <m/>
    <x v="7"/>
    <n v="37"/>
    <s v="دراسة إنشاء كامب بنيوم لتسكين العمالة وتأجيره للغير"/>
    <s v="تخفيض تكاليف الإسكان وتحقيق مصدر دخل إضافي للشركة."/>
    <x v="0"/>
    <x v="3"/>
    <s v="إدارة الموارد البشرية"/>
    <m/>
    <x v="1"/>
    <n v="0.9"/>
    <m/>
    <m/>
  </r>
  <r>
    <s v="20/11/1443 "/>
    <s v="19/6/2022"/>
    <m/>
    <x v="7"/>
    <n v="38"/>
    <s v="الاهتمام بإقفال المشاريع وإنهاء الأعمال المتعلقة بالتسليم"/>
    <s v="تحسين السمعة التنفيذية وضمان إنهاء المشاريع في مواعيدها."/>
    <x v="1"/>
    <x v="3"/>
    <s v="إدارة المشاريع"/>
    <m/>
    <x v="0"/>
    <n v="0.9"/>
    <m/>
    <m/>
  </r>
  <r>
    <s v="20/11/1443 "/>
    <s v="19/6/2022"/>
    <m/>
    <x v="7"/>
    <n v="39"/>
    <s v="التركيز على تحصيل المستحقات وإنهاء الأعمال غير المفوترة"/>
    <s v="تحسين التدفق النقدي وتعظيم الإيرادات عبر استكمال الفوترة."/>
    <x v="0"/>
    <x v="3"/>
    <s v="المالية"/>
    <m/>
    <x v="1"/>
    <n v="0.6"/>
    <m/>
    <m/>
  </r>
  <r>
    <s v="20/11/1443 "/>
    <s v="19/6/2022"/>
    <m/>
    <x v="7"/>
    <n v="40"/>
    <s v="عمل الإجراءات اللازمة لإنهاء مشروع حفر الباطن وتسليمه"/>
    <s v="تسريع إنهاء المشروع لتفادي التأخير وتلبية متطلبات العملاء."/>
    <x v="1"/>
    <x v="3"/>
    <s v="إدارة المشاريع"/>
    <m/>
    <x v="2"/>
    <n v="0.1"/>
    <m/>
    <m/>
  </r>
  <r>
    <s v="20/11/1443 "/>
    <s v="19/6/2022"/>
    <m/>
    <x v="7"/>
    <n v="41"/>
    <s v="ضرورة تقديم تقرير مفصل عن أعمال الإدارات المختلفة بالشركة في الاجتماعات القادمة"/>
    <s v="متابعة أداء الإدارات وتحسين التنسيق الداخلي واتخاذ قرارات مستندة إلى معلومات دقيقة."/>
    <x v="0"/>
    <x v="3"/>
    <s v="إدارة الشركة"/>
    <m/>
    <x v="1"/>
    <n v="0.6"/>
    <m/>
    <m/>
  </r>
  <r>
    <s v="20/11/1443 "/>
    <s v="19/6/2022"/>
    <m/>
    <x v="8"/>
    <n v="42"/>
    <s v="ضرورة اطلاع أعضاء مجلس الإدارة على تقرير لجنة المراجعة وأخذ التوصيات اللازمة"/>
    <s v="تعزيز الرقابة الداخلية وضمان اتخاذ قرارات مدروسة بناءً على المراجعات الدورية."/>
    <x v="0"/>
    <x v="3"/>
    <s v="إدارة المراجعة"/>
    <m/>
    <x v="0"/>
    <n v="0.5"/>
    <m/>
    <m/>
  </r>
  <r>
    <s v="20/11/1443 "/>
    <s v="19/6/2022"/>
    <m/>
    <x v="7"/>
    <n v="43"/>
    <s v="اعتماد التوصيات الواردة بتقرير لجنة المراجعة ومتابعة تنفيذها"/>
    <s v="ضمان تطبيق التوصيات التصحيحية لتحسين الأداء المالي والتشغيلي."/>
    <x v="1"/>
    <x v="3"/>
    <s v="إدارة الشركة"/>
    <m/>
    <x v="1"/>
    <n v="0.54"/>
    <m/>
    <m/>
  </r>
  <r>
    <s v="20/11/1443 "/>
    <s v="19/6/2022"/>
    <m/>
    <x v="0"/>
    <n v="44"/>
    <s v="دراسة إنشاء شركة صناعية تضم جميع الوحدات الإنتاجية"/>
    <s v="تعزيز الكفاءة الإنتاجية والاستفادة التجارية من الوحدات الصناعية."/>
    <x v="1"/>
    <x v="3"/>
    <s v="تطوير الأعمال"/>
    <m/>
    <x v="2"/>
    <n v="0.57999999999999996"/>
    <m/>
    <m/>
  </r>
  <r>
    <s v="20/11/1443 "/>
    <s v="19/6/2022"/>
    <m/>
    <x v="1"/>
    <n v="45"/>
    <s v="تكليف إدارة الزكاة والضريبة بدراسة إنشاء مجموعة ضريبية موحدة لشركات المجموعة"/>
    <s v="تحسين الامتثال الضريبي وتقليل الالتزامات المالية عبر الدمج الضريبي."/>
    <x v="2"/>
    <x v="3"/>
    <s v="المالية"/>
    <m/>
    <x v="0"/>
    <n v="0.62"/>
    <m/>
    <m/>
  </r>
  <r>
    <s v="20/11/1443 "/>
    <s v="19/6/2022"/>
    <m/>
    <x v="7"/>
    <n v="46"/>
    <s v="ضرورة ضبط تداول المعلومات ومستوى التصريح والسرية في جميع الإدارات"/>
    <s v="حماية المعلومات الحساسة وتعزيز الأمن المعلوماتي داخل الشركة."/>
    <x v="0"/>
    <x v="3"/>
    <s v="إدارة الشركة"/>
    <m/>
    <x v="0"/>
    <n v="0.66"/>
    <m/>
    <m/>
  </r>
  <r>
    <s v="1/12/1443"/>
    <s v="30/6/2022"/>
    <s v="1- الافتتاح وكلمة رئيس المجلس."/>
    <x v="0"/>
    <m/>
    <m/>
    <m/>
    <x v="3"/>
    <x v="4"/>
    <m/>
    <m/>
    <x v="3"/>
    <m/>
    <m/>
    <m/>
  </r>
  <r>
    <s v="1/12/1443"/>
    <s v="30/6/2022"/>
    <s v="2- عرض التقرير المالي للفترة من 01/01/2022م حتى 30/06/2022م (قائمة الدخل المنفردة – قائمة الدخل الموحدة – قائمة المركز المالي الموحدة)."/>
    <x v="0"/>
    <m/>
    <m/>
    <m/>
    <x v="3"/>
    <x v="4"/>
    <m/>
    <m/>
    <x v="3"/>
    <m/>
    <m/>
    <m/>
  </r>
  <r>
    <s v="1/12/1443"/>
    <s v="30/6/2022"/>
    <s v="3- عرض التقرير الفني (أداء المشاريع) للفترة من 01/01/2022م حتى 30/06/2022م."/>
    <x v="0"/>
    <m/>
    <m/>
    <m/>
    <x v="3"/>
    <x v="4"/>
    <m/>
    <m/>
    <x v="3"/>
    <m/>
    <m/>
    <m/>
  </r>
  <r>
    <s v="1/12/1443"/>
    <s v="30/6/2022"/>
    <s v="4- عرض ومناقشة تقرير إدارة المراجعة الداخلية واتخاذ القرارات اللازمة."/>
    <x v="0"/>
    <m/>
    <m/>
    <m/>
    <x v="3"/>
    <x v="4"/>
    <m/>
    <m/>
    <x v="3"/>
    <m/>
    <m/>
    <m/>
  </r>
  <r>
    <s v="1/12/1443"/>
    <s v="30/6/2022"/>
    <s v="5- ما يستجد من أعمال والتوصيات والقرارات."/>
    <x v="0"/>
    <m/>
    <m/>
    <m/>
    <x v="3"/>
    <x v="4"/>
    <m/>
    <m/>
    <x v="3"/>
    <m/>
    <m/>
    <m/>
  </r>
  <r>
    <s v="1/12/1443"/>
    <s v="30/6/2022"/>
    <m/>
    <x v="0"/>
    <n v="47"/>
    <s v="ضرورة شمول الاجتماع القادم على تقرير لكل إدارة من إدارات الشركة"/>
    <s v="تحسين الشفافية الإدارية ومتابعة الأداء التشغيلي بشكل دوري."/>
    <x v="1"/>
    <x v="4"/>
    <s v="إدارة المراجعة"/>
    <m/>
    <x v="0"/>
    <n v="0.9"/>
    <m/>
    <m/>
  </r>
  <r>
    <s v="1/12/1443"/>
    <s v="30/6/2022"/>
    <m/>
    <x v="5"/>
    <n v="48"/>
    <s v="وضع آلية واضحة لاحتساب نسبة الإنجاز بالمشاريع بمشاركة جميع الأطراف المعنية"/>
    <s v="توحيد معايير قياس تقدم المشاريع وتحسين دقة التقارير المالية والفنية."/>
    <x v="0"/>
    <x v="4"/>
    <s v="إدارة المشاريع"/>
    <m/>
    <x v="2"/>
    <n v="0.3"/>
    <m/>
    <m/>
  </r>
  <r>
    <s v="1/12/1443"/>
    <s v="30/6/2022"/>
    <m/>
    <x v="9"/>
    <n v="49"/>
    <s v="إعداد هيكلة لإدارة المعدات والحركة والبحث عن كفاءات فنية متخصصة"/>
    <s v="رفع الكفاءة الإدارية والفنية للإدارة لضمان التشغيل الأمثل."/>
    <x v="1"/>
    <x v="4"/>
    <s v="إدارة الموارد البشرية"/>
    <m/>
    <x v="1"/>
    <n v="0.6"/>
    <m/>
    <m/>
  </r>
  <r>
    <s v="1/12/1443"/>
    <s v="30/6/2022"/>
    <m/>
    <x v="2"/>
    <n v="50"/>
    <s v="إعادة تصنيف المعدات وعدم تسجيل المعدات الصغيرة تحت بند المعدات الثقيلة"/>
    <s v="تحسين دقة إدارة الأصول وتسهيل عمليات الجرد والتقييم."/>
    <x v="0"/>
    <x v="4"/>
    <s v="إدارة المعدات"/>
    <m/>
    <x v="1"/>
    <n v="0.7"/>
    <m/>
    <m/>
  </r>
  <r>
    <s v="1/12/1443"/>
    <s v="30/6/2022"/>
    <m/>
    <x v="2"/>
    <n v="51"/>
    <s v="عمل بيان مفصل عن المعدات التي تحتاج صيانة وإصلاحها خلال شهر"/>
    <s v="رفع كفاءة المعدات وخفض الأعطال وتحسين جاهزية الأسطول التشغيلي."/>
    <x v="0"/>
    <x v="4"/>
    <s v="إدارة المعدات"/>
    <m/>
    <x v="0"/>
    <n v="0.6"/>
    <m/>
    <m/>
  </r>
  <r>
    <s v="1/12/1443"/>
    <s v="30/6/2022"/>
    <m/>
    <x v="9"/>
    <n v="52"/>
    <s v="الاعتماد على عمالة الشركة في المشاريع وإلغاء العمالة الخارجية"/>
    <s v="تقليل التكاليف وتحقيق استقرار وظيفي أعلى."/>
    <x v="0"/>
    <x v="4"/>
    <s v="إدارة الموارد البشرية"/>
    <m/>
    <x v="0"/>
    <n v="0.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5D0510-26FF-4657-988B-59064DCE8E38}" name="PivotTable13"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9" rowHeaderCaption="الادارات">
  <location ref="A3:B13" firstHeaderRow="1" firstDataRow="1" firstDataCol="1"/>
  <pivotFields count="15">
    <pivotField showAll="0"/>
    <pivotField showAll="0"/>
    <pivotField showAll="0"/>
    <pivotField axis="axisRow" showAll="0">
      <items count="12">
        <item x="7"/>
        <item x="8"/>
        <item x="3"/>
        <item x="5"/>
        <item x="2"/>
        <item x="9"/>
        <item x="1"/>
        <item x="0"/>
        <item x="6"/>
        <item x="4"/>
        <item m="1" x="10"/>
        <item t="default"/>
      </items>
    </pivotField>
    <pivotField dataField="1" showAll="0"/>
    <pivotField showAll="0"/>
    <pivotField showAll="0"/>
    <pivotField showAll="0">
      <items count="5">
        <item x="0"/>
        <item h="1" x="2"/>
        <item h="1" x="1"/>
        <item h="1" x="3"/>
        <item t="default"/>
      </items>
    </pivotField>
    <pivotField showAll="0">
      <items count="6">
        <item x="0"/>
        <item x="2"/>
        <item x="1"/>
        <item x="3"/>
        <item x="4"/>
        <item t="default"/>
      </items>
    </pivotField>
    <pivotField showAll="0"/>
    <pivotField showAll="0"/>
    <pivotField showAll="0"/>
    <pivotField numFmtId="10" showAll="0"/>
    <pivotField showAll="0"/>
    <pivotField showAll="0"/>
  </pivotFields>
  <rowFields count="1">
    <field x="3"/>
  </rowFields>
  <rowItems count="10">
    <i>
      <x/>
    </i>
    <i>
      <x v="1"/>
    </i>
    <i>
      <x v="2"/>
    </i>
    <i>
      <x v="3"/>
    </i>
    <i>
      <x v="4"/>
    </i>
    <i>
      <x v="5"/>
    </i>
    <i>
      <x v="6"/>
    </i>
    <i>
      <x v="7"/>
    </i>
    <i>
      <x v="8"/>
    </i>
    <i>
      <x v="9"/>
    </i>
  </rowItems>
  <colItems count="1">
    <i/>
  </colItems>
  <dataFields count="1">
    <dataField name="عدد التوصيات" fld="4" subtotal="count" baseField="3" baseItem="0"/>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742D5F-2D75-4990-800C-953FAB21493F}" name="PivotTable12"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rowHeaderCaption="الحالة">
  <location ref="A3:B4" firstHeaderRow="1" firstDataRow="1" firstDataCol="1"/>
  <pivotFields count="15">
    <pivotField showAll="0"/>
    <pivotField showAll="0"/>
    <pivotField showAll="0"/>
    <pivotField showAll="0">
      <items count="12">
        <item x="7"/>
        <item x="8"/>
        <item x="3"/>
        <item x="5"/>
        <item x="2"/>
        <item x="9"/>
        <item x="1"/>
        <item x="0"/>
        <item x="6"/>
        <item x="4"/>
        <item m="1" x="10"/>
        <item t="default"/>
      </items>
    </pivotField>
    <pivotField dataField="1" showAll="0"/>
    <pivotField showAll="0"/>
    <pivotField showAll="0"/>
    <pivotField axis="axisRow" showAll="0">
      <items count="5">
        <item x="0"/>
        <item h="1" x="2"/>
        <item h="1" x="1"/>
        <item h="1" x="3"/>
        <item t="default"/>
      </items>
    </pivotField>
    <pivotField showAll="0">
      <items count="6">
        <item x="0"/>
        <item x="2"/>
        <item x="1"/>
        <item x="3"/>
        <item x="4"/>
        <item t="default"/>
      </items>
    </pivotField>
    <pivotField showAll="0"/>
    <pivotField showAll="0"/>
    <pivotField showAll="0"/>
    <pivotField numFmtId="10" showAll="0"/>
    <pivotField showAll="0"/>
    <pivotField showAll="0"/>
  </pivotFields>
  <rowFields count="1">
    <field x="7"/>
  </rowFields>
  <rowItems count="1">
    <i>
      <x/>
    </i>
  </rowItems>
  <colItems count="1">
    <i/>
  </colItems>
  <dataFields count="1">
    <dataField name="عدد التوصيات" fld="4"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40E0A1-13CB-4319-BCFD-26D1CF6E5A4A}" name="PivotTable14"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7" rowHeaderCaption="الاولوية">
  <location ref="A3:B6" firstHeaderRow="1" firstDataRow="1" firstDataCol="1"/>
  <pivotFields count="15">
    <pivotField showAll="0"/>
    <pivotField showAll="0"/>
    <pivotField showAll="0"/>
    <pivotField showAll="0">
      <items count="12">
        <item x="7"/>
        <item x="8"/>
        <item x="3"/>
        <item x="5"/>
        <item x="2"/>
        <item x="9"/>
        <item x="1"/>
        <item x="0"/>
        <item x="6"/>
        <item x="4"/>
        <item m="1" x="10"/>
        <item t="default"/>
      </items>
    </pivotField>
    <pivotField dataField="1" showAll="0"/>
    <pivotField showAll="0"/>
    <pivotField showAll="0"/>
    <pivotField showAll="0">
      <items count="5">
        <item x="0"/>
        <item h="1" x="2"/>
        <item h="1" x="1"/>
        <item h="1" x="3"/>
        <item t="default"/>
      </items>
    </pivotField>
    <pivotField showAll="0">
      <items count="6">
        <item x="0"/>
        <item x="2"/>
        <item x="1"/>
        <item x="3"/>
        <item x="4"/>
        <item t="default"/>
      </items>
    </pivotField>
    <pivotField showAll="0"/>
    <pivotField showAll="0"/>
    <pivotField axis="axisRow" showAll="0">
      <items count="5">
        <item x="0"/>
        <item x="1"/>
        <item x="2"/>
        <item x="3"/>
        <item t="default"/>
      </items>
    </pivotField>
    <pivotField numFmtId="10" showAll="0"/>
    <pivotField showAll="0"/>
    <pivotField showAll="0"/>
  </pivotFields>
  <rowFields count="1">
    <field x="11"/>
  </rowFields>
  <rowItems count="3">
    <i>
      <x/>
    </i>
    <i>
      <x v="1"/>
    </i>
    <i>
      <x v="2"/>
    </i>
  </rowItems>
  <colItems count="1">
    <i/>
  </colItems>
  <dataFields count="1">
    <dataField name="عدد التوصيات" fld="4" subtotal="count" baseField="11"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966A85-6190-4A1C-9146-B55E8F981E44}"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5">
    <pivotField showAll="0"/>
    <pivotField showAll="0"/>
    <pivotField showAll="0"/>
    <pivotField showAll="0">
      <items count="12">
        <item x="7"/>
        <item x="8"/>
        <item x="3"/>
        <item x="5"/>
        <item x="2"/>
        <item x="9"/>
        <item x="1"/>
        <item x="0"/>
        <item x="6"/>
        <item x="4"/>
        <item m="1" x="10"/>
        <item t="default"/>
      </items>
    </pivotField>
    <pivotField showAll="0"/>
    <pivotField showAll="0"/>
    <pivotField showAll="0"/>
    <pivotField showAll="0">
      <items count="5">
        <item x="0"/>
        <item h="1" x="2"/>
        <item h="1" x="1"/>
        <item h="1" x="3"/>
        <item t="default"/>
      </items>
    </pivotField>
    <pivotField showAll="0">
      <items count="6">
        <item x="0"/>
        <item x="2"/>
        <item x="1"/>
        <item x="3"/>
        <item x="4"/>
        <item t="default"/>
      </items>
    </pivotField>
    <pivotField showAll="0"/>
    <pivotField showAll="0"/>
    <pivotField showAll="0"/>
    <pivotField dataField="1" numFmtId="10" showAll="0"/>
    <pivotField showAll="0"/>
    <pivotField showAll="0"/>
  </pivotFields>
  <rowItems count="1">
    <i/>
  </rowItems>
  <colItems count="1">
    <i/>
  </colItems>
  <dataFields count="1">
    <dataField name="Average of معدل الاكمال" fld="12"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E1BDD1-DC9E-41D3-937C-3FBFBC0867DC}" name="PivotTable16"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7" rowHeaderCaption="التاريخ">
  <location ref="A3:B8" firstHeaderRow="1" firstDataRow="1" firstDataCol="1"/>
  <pivotFields count="15">
    <pivotField showAll="0"/>
    <pivotField showAll="0"/>
    <pivotField showAll="0"/>
    <pivotField showAll="0">
      <items count="12">
        <item x="7"/>
        <item x="8"/>
        <item x="3"/>
        <item x="5"/>
        <item x="2"/>
        <item x="9"/>
        <item x="1"/>
        <item x="0"/>
        <item x="6"/>
        <item x="4"/>
        <item m="1" x="10"/>
        <item t="default"/>
      </items>
    </pivotField>
    <pivotField showAll="0"/>
    <pivotField showAll="0"/>
    <pivotField showAll="0"/>
    <pivotField showAll="0"/>
    <pivotField axis="axisRow" dataField="1" showAll="0" defaultSubtotal="0">
      <items count="5">
        <item x="0"/>
        <item x="3"/>
        <item x="4"/>
        <item x="1"/>
        <item x="2"/>
      </items>
    </pivotField>
    <pivotField showAll="0"/>
    <pivotField showAll="0"/>
    <pivotField showAll="0"/>
    <pivotField numFmtId="10" showAll="0"/>
    <pivotField showAll="0"/>
    <pivotField showAll="0"/>
  </pivotFields>
  <rowFields count="1">
    <field x="8"/>
  </rowFields>
  <rowItems count="5">
    <i>
      <x/>
    </i>
    <i>
      <x v="1"/>
    </i>
    <i>
      <x v="2"/>
    </i>
    <i>
      <x v="3"/>
    </i>
    <i>
      <x v="4"/>
    </i>
  </rowItems>
  <colItems count="1">
    <i/>
  </colItems>
  <dataFields count="1">
    <dataField name="عدد التوصيات المنفذة" fld="8" subtotal="count" baseField="8"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ة" xr10:uid="{5A6FB4D6-38A2-428E-A709-BEDE0B3968EA}" sourceName="الحالة">
  <pivotTables>
    <pivotTable tabId="12" name="PivotTable12"/>
    <pivotTable tabId="13" name="PivotTable13"/>
    <pivotTable tabId="14" name="PivotTable14"/>
    <pivotTable tabId="16" name="PivotTable15"/>
  </pivotTables>
  <data>
    <tabular pivotCacheId="626088793" customListSort="0" showMissing="0" crossFilter="none">
      <items count="4">
        <i x="0" s="1"/>
        <i x="2"/>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ادارات" xr10:uid="{7110C07C-C703-4D0A-9EA5-A146E28299A3}" sourceName="الادارات">
  <pivotTables>
    <pivotTable tabId="13" name="PivotTable13"/>
    <pivotTable tabId="12" name="PivotTable12"/>
    <pivotTable tabId="17" name="PivotTable16"/>
    <pivotTable tabId="14" name="PivotTable14"/>
    <pivotTable tabId="16" name="PivotTable15"/>
  </pivotTables>
  <data>
    <tabular pivotCacheId="626088793">
      <items count="11">
        <i x="7" s="1"/>
        <i x="8" s="1"/>
        <i x="3" s="1"/>
        <i x="5" s="1"/>
        <i x="2" s="1"/>
        <i x="9" s="1"/>
        <i x="1" s="1"/>
        <i x="0" s="1"/>
        <i x="6" s="1"/>
        <i x="4" s="1"/>
        <i x="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حالة" xr10:uid="{29C50022-C910-4C30-BE5E-F0006573FDEC}" cache="Slicer_الحالة" caption="الحالة" rowHeight="241300"/>
  <slicer name="الادارات" xr10:uid="{D6F808E2-F64F-424C-A9DE-D0A86E9BE35F}" cache="Slicer_الادارات" caption="الادارات" startItem="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117253-36F0-452B-8652-504028778119}" name="Table5" displayName="Table5" ref="B3:P68" totalsRowShown="0" headerRowDxfId="17" dataDxfId="16" tableBorderDxfId="15">
  <autoFilter ref="B3:P68" xr:uid="{D8117253-36F0-452B-8652-504028778119}"/>
  <tableColumns count="15">
    <tableColumn id="1" xr3:uid="{FB4CDAA2-11CA-424D-9BC9-81AFD8077BA9}" name="تاريخ الاجتماع هجرى " dataDxfId="14"/>
    <tableColumn id="2" xr3:uid="{D4469551-61E9-48F5-89A8-54B84ECC1C7C}" name="تاريخ الاجتماع ميلادى " dataDxfId="13"/>
    <tableColumn id="3" xr3:uid="{63D61D3E-C77B-44B7-9803-593F17B39AF3}" name="اجندة الاجتماع" dataDxfId="12"/>
    <tableColumn id="4" xr3:uid="{25C9EB02-1FAA-4EF3-816A-90A0A658A8D9}" name="الادارات" dataDxfId="11"/>
    <tableColumn id="5" xr3:uid="{2F49A9D7-2807-4FCA-AAC5-EBCC02D6D407}" name="رقم التوصية" dataDxfId="10"/>
    <tableColumn id="6" xr3:uid="{7038927E-3916-4B13-9C4A-B5F3352C3704}" name="نص التوصية" dataDxfId="9"/>
    <tableColumn id="7" xr3:uid="{30EC26E0-3E60-41B7-84A0-5B6CC8E47607}" name="الهدف" dataDxfId="8"/>
    <tableColumn id="8" xr3:uid="{97E5C919-98C9-48B7-B1CB-7ADC27978A6A}" name="الحالة" dataDxfId="7"/>
    <tableColumn id="9" xr3:uid="{C23D7694-0DF6-44A6-B2C1-070BFE8CF8E7}" name="تاريخ التنفيذ" dataDxfId="6"/>
    <tableColumn id="10" xr3:uid="{FF20932D-3529-437A-B703-7FFBDA62ECF2}" name="الادارة المسؤولة" dataDxfId="5"/>
    <tableColumn id="11" xr3:uid="{AA46DE71-77AB-41B5-A70F-A609F06E396E}" name="أثر التوصية" dataDxfId="4"/>
    <tableColumn id="12" xr3:uid="{8C214177-D4E2-43E3-99B7-D85E0271383E}" name="الأولوية" dataDxfId="3"/>
    <tableColumn id="13" xr3:uid="{2E176F6F-7AD6-4082-AC30-3EB66DD743BB}" name="معدل الاكمال" dataDxfId="2"/>
    <tableColumn id="14" xr3:uid="{0E160641-8DD3-4561-BEEF-A4549A127D5B}" name="روابط" dataDxfId="1"/>
    <tableColumn id="15" xr3:uid="{EEABADCE-84AF-443B-B318-A5F471D6C010}" name="الملاحظات"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تاريخ_التنفيذ" xr10:uid="{685A99DF-9703-4DE8-9892-77B475F6151A}" sourceName="تاريخ التنفيذ">
  <pivotTables>
    <pivotTable tabId="17" name="PivotTable16"/>
    <pivotTable tabId="12" name="PivotTable12"/>
    <pivotTable tabId="13" name="PivotTable13"/>
    <pivotTable tabId="14" name="PivotTable14"/>
    <pivotTable tabId="16" name="PivotTable15"/>
  </pivotTables>
  <state minimalRefreshVersion="6" lastRefreshVersion="6" pivotCacheId="626088793"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تاريخ التنفيذ" xr10:uid="{BA68F614-59DC-44CB-BB17-2601ACE03129}" cache="NativeTimeline_تاريخ_التنفيذ" caption="تاريخ التنفيذ" level="2" selectionLevel="2" scrollPosition="2021-09-01T00:00:00"/>
  <timeline name="تاريخ التنفيذ 1" xr10:uid="{35407FFC-402D-4ABA-A912-95C1BBD7EFB2}" cache="NativeTimeline_تاريخ_التنفيذ" caption="تاريخ التنفيذ" level="0" selectionLevel="0" scrollPosition="2021-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B4488-59AB-4063-B745-E4ECF044D48B}">
  <dimension ref="A3:B13"/>
  <sheetViews>
    <sheetView rightToLeft="1" workbookViewId="0">
      <selection activeCell="B14" sqref="B14"/>
    </sheetView>
  </sheetViews>
  <sheetFormatPr defaultRowHeight="14.5" x14ac:dyDescent="0.35"/>
  <cols>
    <col min="1" max="1" width="13.26953125" bestFit="1" customWidth="1"/>
    <col min="2" max="2" width="10.7265625" bestFit="1" customWidth="1"/>
  </cols>
  <sheetData>
    <row r="3" spans="1:2" x14ac:dyDescent="0.35">
      <c r="A3" s="24" t="s">
        <v>145</v>
      </c>
      <c r="B3" t="s">
        <v>172</v>
      </c>
    </row>
    <row r="4" spans="1:2" x14ac:dyDescent="0.35">
      <c r="A4" s="25" t="s">
        <v>98</v>
      </c>
      <c r="B4">
        <v>4</v>
      </c>
    </row>
    <row r="5" spans="1:2" x14ac:dyDescent="0.35">
      <c r="A5" s="25" t="s">
        <v>109</v>
      </c>
      <c r="B5">
        <v>1</v>
      </c>
    </row>
    <row r="6" spans="1:2" x14ac:dyDescent="0.35">
      <c r="A6" s="25" t="s">
        <v>47</v>
      </c>
      <c r="B6">
        <v>1</v>
      </c>
    </row>
    <row r="7" spans="1:2" x14ac:dyDescent="0.35">
      <c r="A7" s="25" t="s">
        <v>60</v>
      </c>
      <c r="B7">
        <v>1</v>
      </c>
    </row>
    <row r="8" spans="1:2" x14ac:dyDescent="0.35">
      <c r="A8" s="25" t="s">
        <v>42</v>
      </c>
      <c r="B8">
        <v>4</v>
      </c>
    </row>
    <row r="9" spans="1:2" x14ac:dyDescent="0.35">
      <c r="A9" s="25" t="s">
        <v>124</v>
      </c>
      <c r="B9">
        <v>1</v>
      </c>
    </row>
    <row r="10" spans="1:2" x14ac:dyDescent="0.35">
      <c r="A10" s="25" t="s">
        <v>35</v>
      </c>
      <c r="B10">
        <v>8</v>
      </c>
    </row>
    <row r="11" spans="1:2" x14ac:dyDescent="0.35">
      <c r="A11" s="25" t="s">
        <v>12</v>
      </c>
      <c r="B11">
        <v>4</v>
      </c>
    </row>
    <row r="12" spans="1:2" x14ac:dyDescent="0.35">
      <c r="A12" s="25" t="s">
        <v>64</v>
      </c>
      <c r="B12">
        <v>2</v>
      </c>
    </row>
    <row r="13" spans="1:2" x14ac:dyDescent="0.35">
      <c r="A13" s="25" t="s">
        <v>50</v>
      </c>
      <c r="B1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E1523-F646-4664-9B66-600830329C9A}">
  <dimension ref="A3:B4"/>
  <sheetViews>
    <sheetView rightToLeft="1" workbookViewId="0">
      <selection activeCell="F7" sqref="F7"/>
    </sheetView>
  </sheetViews>
  <sheetFormatPr defaultRowHeight="14.5" x14ac:dyDescent="0.35"/>
  <cols>
    <col min="1" max="1" width="8.26953125" bestFit="1" customWidth="1"/>
    <col min="2" max="2" width="10.7265625" bestFit="1" customWidth="1"/>
  </cols>
  <sheetData>
    <row r="3" spans="1:2" x14ac:dyDescent="0.35">
      <c r="A3" s="24" t="s">
        <v>153</v>
      </c>
      <c r="B3" t="s">
        <v>172</v>
      </c>
    </row>
    <row r="4" spans="1:2" x14ac:dyDescent="0.35">
      <c r="A4" s="25" t="s">
        <v>170</v>
      </c>
      <c r="B4">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49E81-BBD0-475F-B9B2-027161955910}">
  <dimension ref="A3:B6"/>
  <sheetViews>
    <sheetView rightToLeft="1" workbookViewId="0">
      <selection activeCell="A4" sqref="A4"/>
    </sheetView>
  </sheetViews>
  <sheetFormatPr defaultRowHeight="14.5" x14ac:dyDescent="0.35"/>
  <cols>
    <col min="1" max="1" width="8.1796875" bestFit="1" customWidth="1"/>
    <col min="2" max="2" width="10.7265625" bestFit="1" customWidth="1"/>
  </cols>
  <sheetData>
    <row r="3" spans="1:2" x14ac:dyDescent="0.35">
      <c r="A3" s="24" t="s">
        <v>176</v>
      </c>
      <c r="B3" t="s">
        <v>172</v>
      </c>
    </row>
    <row r="4" spans="1:2" x14ac:dyDescent="0.35">
      <c r="A4" s="25" t="s">
        <v>173</v>
      </c>
      <c r="B4">
        <v>15</v>
      </c>
    </row>
    <row r="5" spans="1:2" x14ac:dyDescent="0.35">
      <c r="A5" s="25" t="s">
        <v>174</v>
      </c>
      <c r="B5">
        <v>9</v>
      </c>
    </row>
    <row r="6" spans="1:2" x14ac:dyDescent="0.35">
      <c r="A6" s="25" t="s">
        <v>175</v>
      </c>
      <c r="B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F1362-92BB-41E6-9FA7-863243B43F08}">
  <dimension ref="A3:A4"/>
  <sheetViews>
    <sheetView rightToLeft="1" workbookViewId="0">
      <selection activeCell="A7" sqref="A7"/>
    </sheetView>
  </sheetViews>
  <sheetFormatPr defaultRowHeight="14.5" x14ac:dyDescent="0.35"/>
  <cols>
    <col min="1" max="1" width="19.26953125" bestFit="1" customWidth="1"/>
  </cols>
  <sheetData>
    <row r="3" spans="1:1" x14ac:dyDescent="0.35">
      <c r="A3" t="s">
        <v>177</v>
      </c>
    </row>
    <row r="4" spans="1:1" x14ac:dyDescent="0.35">
      <c r="A4" s="55">
        <v>0.62925925925925918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DC03A-8672-416B-A524-0808E1BE4200}">
  <dimension ref="A3:B8"/>
  <sheetViews>
    <sheetView rightToLeft="1" workbookViewId="0">
      <selection activeCell="A6" sqref="A4:A8"/>
      <pivotSelection pane="bottomRight" showHeader="1" axis="axisRow" activeRow="5" previousRow="5" click="1" r:id="rId1">
        <pivotArea dataOnly="0" labelOnly="1" fieldPosition="0">
          <references count="1">
            <reference field="8" count="0"/>
          </references>
        </pivotArea>
      </pivotSelection>
    </sheetView>
  </sheetViews>
  <sheetFormatPr defaultRowHeight="14.5" x14ac:dyDescent="0.35"/>
  <cols>
    <col min="1" max="1" width="10.453125" bestFit="1" customWidth="1"/>
    <col min="2" max="2" width="16.26953125" bestFit="1" customWidth="1"/>
  </cols>
  <sheetData>
    <row r="3" spans="1:2" x14ac:dyDescent="0.35">
      <c r="A3" s="24" t="s">
        <v>179</v>
      </c>
      <c r="B3" t="s">
        <v>178</v>
      </c>
    </row>
    <row r="4" spans="1:2" x14ac:dyDescent="0.35">
      <c r="A4" s="56">
        <v>44496</v>
      </c>
      <c r="B4">
        <v>26</v>
      </c>
    </row>
    <row r="5" spans="1:2" x14ac:dyDescent="0.35">
      <c r="A5" s="56">
        <v>44731</v>
      </c>
      <c r="B5">
        <v>23</v>
      </c>
    </row>
    <row r="6" spans="1:2" x14ac:dyDescent="0.35">
      <c r="A6" s="56">
        <v>44742</v>
      </c>
      <c r="B6">
        <v>11</v>
      </c>
    </row>
    <row r="7" spans="1:2" x14ac:dyDescent="0.35">
      <c r="A7" s="56">
        <v>44563</v>
      </c>
      <c r="B7">
        <v>1</v>
      </c>
    </row>
    <row r="8" spans="1:2" x14ac:dyDescent="0.35">
      <c r="A8" s="56">
        <v>44562</v>
      </c>
      <c r="B8">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3"/>
  <sheetViews>
    <sheetView rightToLeft="1" zoomScale="35" zoomScaleNormal="115" workbookViewId="0">
      <selection activeCell="C14" sqref="C14"/>
    </sheetView>
  </sheetViews>
  <sheetFormatPr defaultColWidth="8.54296875" defaultRowHeight="14.25" customHeight="1" x14ac:dyDescent="0.35"/>
  <cols>
    <col min="1" max="1" width="6.453125" style="7" customWidth="1"/>
    <col min="2" max="2" width="20.1796875" style="10" customWidth="1"/>
    <col min="3" max="3" width="26.1796875" style="10" customWidth="1"/>
    <col min="4" max="4" width="47.08984375" style="11" customWidth="1"/>
    <col min="5" max="5" width="16.08984375" style="10" customWidth="1"/>
    <col min="6" max="6" width="14.26953125" style="14" customWidth="1"/>
    <col min="7" max="7" width="46.54296875" style="10" customWidth="1"/>
    <col min="8" max="8" width="52.6328125" style="10" customWidth="1"/>
    <col min="9" max="9" width="18.1796875" style="7" customWidth="1"/>
    <col min="10" max="10" width="32.6328125" style="7" bestFit="1" customWidth="1"/>
    <col min="11" max="11" width="14.453125" style="7" customWidth="1"/>
    <col min="12" max="12" width="46.1796875" style="7" customWidth="1"/>
    <col min="13" max="13" width="15.36328125" style="7" customWidth="1"/>
    <col min="14" max="14" width="22.453125" style="7" customWidth="1"/>
    <col min="15" max="15" width="42.6328125" style="7" customWidth="1"/>
    <col min="16" max="16" width="61.26953125" style="7" customWidth="1"/>
    <col min="17" max="16384" width="8.54296875" style="7"/>
  </cols>
  <sheetData>
    <row r="1" spans="1:16" ht="14.25" customHeight="1" x14ac:dyDescent="0.35">
      <c r="B1" s="26"/>
      <c r="C1" s="27"/>
      <c r="D1" s="28"/>
      <c r="E1" s="27"/>
      <c r="F1" s="29"/>
      <c r="G1" s="27"/>
      <c r="H1" s="27"/>
    </row>
    <row r="2" spans="1:16" ht="31.5" thickBot="1" x14ac:dyDescent="0.4">
      <c r="A2" s="16"/>
      <c r="B2" s="19" t="s">
        <v>146</v>
      </c>
      <c r="C2" s="20" t="s">
        <v>147</v>
      </c>
      <c r="D2" s="21" t="s">
        <v>148</v>
      </c>
      <c r="E2" s="22" t="s">
        <v>149</v>
      </c>
      <c r="F2" s="22" t="s">
        <v>150</v>
      </c>
      <c r="G2" s="22" t="s">
        <v>151</v>
      </c>
      <c r="H2" s="22" t="s">
        <v>152</v>
      </c>
      <c r="I2" s="22" t="s">
        <v>160</v>
      </c>
      <c r="J2" s="22" t="s">
        <v>161</v>
      </c>
      <c r="K2" s="22" t="s">
        <v>163</v>
      </c>
      <c r="L2" s="22" t="s">
        <v>167</v>
      </c>
      <c r="M2" s="22" t="s">
        <v>165</v>
      </c>
      <c r="N2" s="22" t="s">
        <v>168</v>
      </c>
      <c r="O2" s="22" t="s">
        <v>166</v>
      </c>
      <c r="P2" s="23" t="s">
        <v>164</v>
      </c>
    </row>
    <row r="3" spans="1:16" s="12" customFormat="1" ht="30" customHeight="1" x14ac:dyDescent="0.35">
      <c r="A3" s="17"/>
      <c r="B3" s="58" t="s">
        <v>0</v>
      </c>
      <c r="C3" s="57" t="s">
        <v>1</v>
      </c>
      <c r="D3" s="30" t="s">
        <v>2</v>
      </c>
      <c r="E3" s="31" t="s">
        <v>145</v>
      </c>
      <c r="F3" s="31" t="s">
        <v>4</v>
      </c>
      <c r="G3" s="31" t="s">
        <v>5</v>
      </c>
      <c r="H3" s="31" t="s">
        <v>6</v>
      </c>
      <c r="I3" s="31" t="s">
        <v>153</v>
      </c>
      <c r="J3" s="66" t="s">
        <v>154</v>
      </c>
      <c r="K3" s="31" t="s">
        <v>162</v>
      </c>
      <c r="L3" s="31" t="s">
        <v>155</v>
      </c>
      <c r="M3" s="31" t="s">
        <v>157</v>
      </c>
      <c r="N3" s="31" t="s">
        <v>158</v>
      </c>
      <c r="O3" s="31" t="s">
        <v>159</v>
      </c>
      <c r="P3" s="32" t="s">
        <v>156</v>
      </c>
    </row>
    <row r="4" spans="1:16" s="12" customFormat="1" ht="30" customHeight="1" x14ac:dyDescent="0.35">
      <c r="A4" s="17"/>
      <c r="B4" s="59"/>
      <c r="C4" s="39"/>
      <c r="D4" s="34"/>
      <c r="E4" s="35" t="s">
        <v>12</v>
      </c>
      <c r="F4" s="36">
        <v>1</v>
      </c>
      <c r="G4" s="35" t="s">
        <v>13</v>
      </c>
      <c r="H4" s="35" t="s">
        <v>14</v>
      </c>
      <c r="I4" s="37" t="s">
        <v>170</v>
      </c>
      <c r="J4" s="43">
        <v>44496</v>
      </c>
      <c r="K4" s="35" t="s">
        <v>12</v>
      </c>
      <c r="L4" s="15"/>
      <c r="M4" s="37" t="s">
        <v>173</v>
      </c>
      <c r="N4" s="38">
        <v>0.3</v>
      </c>
      <c r="O4" s="15"/>
      <c r="P4" s="15"/>
    </row>
    <row r="5" spans="1:16" s="12" customFormat="1" ht="30" customHeight="1" x14ac:dyDescent="0.35">
      <c r="A5" s="17"/>
      <c r="B5" s="59"/>
      <c r="C5" s="39"/>
      <c r="D5" s="34"/>
      <c r="E5" s="35" t="s">
        <v>12</v>
      </c>
      <c r="F5" s="36">
        <v>2</v>
      </c>
      <c r="G5" s="35" t="s">
        <v>15</v>
      </c>
      <c r="H5" s="35" t="s">
        <v>16</v>
      </c>
      <c r="I5" s="37" t="s">
        <v>171</v>
      </c>
      <c r="J5" s="43">
        <v>44496</v>
      </c>
      <c r="K5" s="35" t="s">
        <v>12</v>
      </c>
      <c r="L5" s="15"/>
      <c r="M5" s="37" t="s">
        <v>174</v>
      </c>
      <c r="N5" s="38">
        <v>0.6</v>
      </c>
      <c r="O5" s="15"/>
      <c r="P5" s="15"/>
    </row>
    <row r="6" spans="1:16" s="12" customFormat="1" ht="30" customHeight="1" x14ac:dyDescent="0.35">
      <c r="A6" s="17"/>
      <c r="B6" s="59"/>
      <c r="C6" s="39"/>
      <c r="D6" s="34"/>
      <c r="E6" s="35" t="s">
        <v>12</v>
      </c>
      <c r="F6" s="36">
        <v>3</v>
      </c>
      <c r="G6" s="35" t="s">
        <v>17</v>
      </c>
      <c r="H6" s="35" t="s">
        <v>18</v>
      </c>
      <c r="I6" s="37" t="s">
        <v>171</v>
      </c>
      <c r="J6" s="43">
        <v>44496</v>
      </c>
      <c r="K6" s="35" t="s">
        <v>12</v>
      </c>
      <c r="L6" s="15"/>
      <c r="M6" s="37" t="s">
        <v>175</v>
      </c>
      <c r="N6" s="38">
        <v>0.1</v>
      </c>
      <c r="O6" s="15"/>
      <c r="P6" s="15"/>
    </row>
    <row r="7" spans="1:16" s="12" customFormat="1" ht="30" customHeight="1" x14ac:dyDescent="0.35">
      <c r="A7" s="17"/>
      <c r="B7" s="59"/>
      <c r="C7" s="39"/>
      <c r="D7" s="34"/>
      <c r="E7" s="35" t="s">
        <v>12</v>
      </c>
      <c r="F7" s="36">
        <v>4</v>
      </c>
      <c r="G7" s="35" t="s">
        <v>19</v>
      </c>
      <c r="H7" s="35" t="s">
        <v>20</v>
      </c>
      <c r="I7" s="37" t="s">
        <v>169</v>
      </c>
      <c r="J7" s="43">
        <v>44496</v>
      </c>
      <c r="K7" s="35" t="s">
        <v>12</v>
      </c>
      <c r="L7" s="15"/>
      <c r="M7" s="37" t="s">
        <v>173</v>
      </c>
      <c r="N7" s="38">
        <v>0.6</v>
      </c>
      <c r="O7" s="15"/>
      <c r="P7" s="15"/>
    </row>
    <row r="8" spans="1:16" s="12" customFormat="1" ht="30" customHeight="1" x14ac:dyDescent="0.35">
      <c r="A8" s="17"/>
      <c r="B8" s="59"/>
      <c r="C8" s="39"/>
      <c r="D8" s="34"/>
      <c r="E8" s="35" t="s">
        <v>12</v>
      </c>
      <c r="F8" s="36">
        <v>5</v>
      </c>
      <c r="G8" s="35" t="s">
        <v>21</v>
      </c>
      <c r="H8" s="35" t="s">
        <v>22</v>
      </c>
      <c r="I8" s="37" t="s">
        <v>170</v>
      </c>
      <c r="J8" s="43">
        <v>44496</v>
      </c>
      <c r="K8" s="35" t="s">
        <v>12</v>
      </c>
      <c r="L8" s="15"/>
      <c r="M8" s="37" t="s">
        <v>175</v>
      </c>
      <c r="N8" s="38">
        <v>0.5</v>
      </c>
      <c r="O8" s="15"/>
      <c r="P8" s="15"/>
    </row>
    <row r="9" spans="1:16" s="12" customFormat="1" ht="30" customHeight="1" x14ac:dyDescent="0.35">
      <c r="A9" s="17"/>
      <c r="B9" s="59"/>
      <c r="C9" s="39"/>
      <c r="D9" s="34"/>
      <c r="E9" s="35" t="s">
        <v>12</v>
      </c>
      <c r="F9" s="36">
        <v>6</v>
      </c>
      <c r="G9" s="35" t="s">
        <v>23</v>
      </c>
      <c r="H9" s="35" t="s">
        <v>24</v>
      </c>
      <c r="I9" s="37" t="s">
        <v>171</v>
      </c>
      <c r="J9" s="43">
        <v>44496</v>
      </c>
      <c r="K9" s="35" t="s">
        <v>12</v>
      </c>
      <c r="L9" s="15"/>
      <c r="M9" s="37" t="s">
        <v>175</v>
      </c>
      <c r="N9" s="38">
        <v>0.54</v>
      </c>
      <c r="O9" s="15"/>
      <c r="P9" s="15"/>
    </row>
    <row r="10" spans="1:16" s="12" customFormat="1" ht="30" customHeight="1" x14ac:dyDescent="0.35">
      <c r="A10" s="17"/>
      <c r="B10" s="59"/>
      <c r="C10" s="39"/>
      <c r="D10" s="34"/>
      <c r="E10" s="35" t="s">
        <v>12</v>
      </c>
      <c r="F10" s="36">
        <v>7</v>
      </c>
      <c r="G10" s="35" t="s">
        <v>25</v>
      </c>
      <c r="H10" s="35" t="s">
        <v>26</v>
      </c>
      <c r="I10" s="37" t="s">
        <v>170</v>
      </c>
      <c r="J10" s="43">
        <v>44496</v>
      </c>
      <c r="K10" s="35" t="s">
        <v>12</v>
      </c>
      <c r="L10" s="15"/>
      <c r="M10" s="37" t="s">
        <v>174</v>
      </c>
      <c r="N10" s="38">
        <v>0.57999999999999996</v>
      </c>
      <c r="O10" s="15"/>
      <c r="P10" s="15"/>
    </row>
    <row r="11" spans="1:16" s="12" customFormat="1" ht="30" customHeight="1" x14ac:dyDescent="0.35">
      <c r="A11" s="17"/>
      <c r="B11" s="59"/>
      <c r="C11" s="39"/>
      <c r="D11" s="34"/>
      <c r="E11" s="35" t="s">
        <v>12</v>
      </c>
      <c r="F11" s="36">
        <v>8</v>
      </c>
      <c r="G11" s="35" t="s">
        <v>27</v>
      </c>
      <c r="H11" s="35" t="s">
        <v>28</v>
      </c>
      <c r="I11" s="37" t="s">
        <v>170</v>
      </c>
      <c r="J11" s="43">
        <v>44496</v>
      </c>
      <c r="K11" s="35" t="s">
        <v>12</v>
      </c>
      <c r="L11" s="15"/>
      <c r="M11" s="37" t="s">
        <v>173</v>
      </c>
      <c r="N11" s="38">
        <v>0.62</v>
      </c>
      <c r="O11" s="15"/>
      <c r="P11" s="15"/>
    </row>
    <row r="12" spans="1:16" s="12" customFormat="1" ht="30" customHeight="1" x14ac:dyDescent="0.35">
      <c r="A12" s="17"/>
      <c r="B12" s="59"/>
      <c r="C12" s="39"/>
      <c r="D12" s="34"/>
      <c r="E12" s="35" t="s">
        <v>12</v>
      </c>
      <c r="F12" s="36">
        <v>9</v>
      </c>
      <c r="G12" s="35" t="s">
        <v>29</v>
      </c>
      <c r="H12" s="35" t="s">
        <v>30</v>
      </c>
      <c r="I12" s="37" t="s">
        <v>171</v>
      </c>
      <c r="J12" s="43">
        <v>44496</v>
      </c>
      <c r="K12" s="35" t="s">
        <v>12</v>
      </c>
      <c r="L12" s="15"/>
      <c r="M12" s="37" t="s">
        <v>174</v>
      </c>
      <c r="N12" s="38">
        <v>0.66</v>
      </c>
      <c r="O12" s="15"/>
      <c r="P12" s="15"/>
    </row>
    <row r="13" spans="1:16" s="12" customFormat="1" ht="30" customHeight="1" x14ac:dyDescent="0.35">
      <c r="A13" s="17"/>
      <c r="B13" s="59"/>
      <c r="C13" s="39"/>
      <c r="D13" s="34"/>
      <c r="E13" s="35" t="s">
        <v>12</v>
      </c>
      <c r="F13" s="36">
        <v>10</v>
      </c>
      <c r="G13" s="35" t="s">
        <v>31</v>
      </c>
      <c r="H13" s="35" t="s">
        <v>32</v>
      </c>
      <c r="I13" s="37" t="s">
        <v>171</v>
      </c>
      <c r="J13" s="43">
        <v>44496</v>
      </c>
      <c r="K13" s="35" t="s">
        <v>12</v>
      </c>
      <c r="L13" s="15"/>
      <c r="M13" s="37" t="s">
        <v>175</v>
      </c>
      <c r="N13" s="38">
        <v>0.7</v>
      </c>
      <c r="O13" s="15"/>
      <c r="P13" s="15"/>
    </row>
    <row r="14" spans="1:16" s="12" customFormat="1" ht="30" customHeight="1" x14ac:dyDescent="0.35">
      <c r="A14" s="17"/>
      <c r="B14" s="60" t="s">
        <v>7</v>
      </c>
      <c r="C14" s="43" t="s">
        <v>8</v>
      </c>
      <c r="D14" s="34" t="s">
        <v>9</v>
      </c>
      <c r="E14" s="35" t="s">
        <v>12</v>
      </c>
      <c r="F14" s="36"/>
      <c r="G14" s="35"/>
      <c r="H14" s="35"/>
      <c r="I14" s="37"/>
      <c r="J14" s="43">
        <v>44496</v>
      </c>
      <c r="K14" s="35"/>
      <c r="L14" s="15"/>
      <c r="M14" s="37"/>
      <c r="N14" s="38"/>
      <c r="O14" s="15"/>
      <c r="P14" s="15"/>
    </row>
    <row r="15" spans="1:16" s="12" customFormat="1" ht="30" customHeight="1" x14ac:dyDescent="0.35">
      <c r="A15" s="17"/>
      <c r="B15" s="60" t="s">
        <v>7</v>
      </c>
      <c r="C15" s="43" t="s">
        <v>8</v>
      </c>
      <c r="D15" s="34" t="s">
        <v>10</v>
      </c>
      <c r="E15" s="35" t="s">
        <v>12</v>
      </c>
      <c r="F15" s="36"/>
      <c r="G15" s="35"/>
      <c r="H15" s="35"/>
      <c r="I15" s="37"/>
      <c r="J15" s="43">
        <v>44496</v>
      </c>
      <c r="K15" s="35"/>
      <c r="L15" s="15"/>
      <c r="M15" s="37"/>
      <c r="N15" s="38"/>
      <c r="O15" s="15"/>
      <c r="P15" s="15"/>
    </row>
    <row r="16" spans="1:16" s="12" customFormat="1" ht="30" customHeight="1" x14ac:dyDescent="0.35">
      <c r="A16" s="17"/>
      <c r="B16" s="60" t="s">
        <v>7</v>
      </c>
      <c r="C16" s="43" t="s">
        <v>8</v>
      </c>
      <c r="D16" s="34" t="s">
        <v>11</v>
      </c>
      <c r="E16" s="35" t="s">
        <v>12</v>
      </c>
      <c r="F16" s="36"/>
      <c r="G16" s="35"/>
      <c r="H16" s="35"/>
      <c r="I16" s="37"/>
      <c r="J16" s="43">
        <v>44496</v>
      </c>
      <c r="K16" s="35"/>
      <c r="L16" s="15"/>
      <c r="M16" s="37"/>
      <c r="N16" s="38"/>
      <c r="O16" s="15"/>
      <c r="P16" s="15"/>
    </row>
    <row r="17" spans="1:16" s="12" customFormat="1" ht="30" customHeight="1" x14ac:dyDescent="0.35">
      <c r="A17" s="17"/>
      <c r="B17" s="61" t="s">
        <v>7</v>
      </c>
      <c r="C17" s="44" t="s">
        <v>8</v>
      </c>
      <c r="D17" s="34"/>
      <c r="E17" s="35" t="s">
        <v>12</v>
      </c>
      <c r="F17" s="36">
        <v>11</v>
      </c>
      <c r="G17" s="35" t="s">
        <v>33</v>
      </c>
      <c r="H17" s="35" t="s">
        <v>34</v>
      </c>
      <c r="I17" s="37" t="s">
        <v>171</v>
      </c>
      <c r="J17" s="44">
        <v>44496</v>
      </c>
      <c r="K17" s="35" t="s">
        <v>12</v>
      </c>
      <c r="L17" s="15"/>
      <c r="M17" s="37" t="s">
        <v>173</v>
      </c>
      <c r="N17" s="38">
        <v>1</v>
      </c>
      <c r="O17" s="15"/>
      <c r="P17" s="15"/>
    </row>
    <row r="18" spans="1:16" s="12" customFormat="1" ht="30" customHeight="1" x14ac:dyDescent="0.35">
      <c r="A18" s="17"/>
      <c r="B18" s="59" t="s">
        <v>7</v>
      </c>
      <c r="C18" s="39" t="s">
        <v>8</v>
      </c>
      <c r="D18" s="34"/>
      <c r="E18" s="35" t="s">
        <v>35</v>
      </c>
      <c r="F18" s="36">
        <v>12</v>
      </c>
      <c r="G18" s="35" t="s">
        <v>36</v>
      </c>
      <c r="H18" s="35" t="s">
        <v>37</v>
      </c>
      <c r="I18" s="37" t="s">
        <v>170</v>
      </c>
      <c r="J18" s="39">
        <v>44496</v>
      </c>
      <c r="K18" s="35" t="s">
        <v>35</v>
      </c>
      <c r="L18" s="15"/>
      <c r="M18" s="37" t="s">
        <v>173</v>
      </c>
      <c r="N18" s="38">
        <v>0.9</v>
      </c>
      <c r="O18" s="15"/>
      <c r="P18" s="15"/>
    </row>
    <row r="19" spans="1:16" s="12" customFormat="1" ht="30" customHeight="1" x14ac:dyDescent="0.35">
      <c r="A19" s="17"/>
      <c r="B19" s="59" t="s">
        <v>7</v>
      </c>
      <c r="C19" s="39" t="s">
        <v>8</v>
      </c>
      <c r="D19" s="34"/>
      <c r="E19" s="35" t="s">
        <v>12</v>
      </c>
      <c r="F19" s="36">
        <v>13</v>
      </c>
      <c r="G19" s="35" t="s">
        <v>38</v>
      </c>
      <c r="H19" s="35" t="s">
        <v>39</v>
      </c>
      <c r="I19" s="37" t="s">
        <v>171</v>
      </c>
      <c r="J19" s="39">
        <v>44496</v>
      </c>
      <c r="K19" s="35" t="s">
        <v>109</v>
      </c>
      <c r="L19" s="15"/>
      <c r="M19" s="37" t="s">
        <v>173</v>
      </c>
      <c r="N19" s="38">
        <v>1</v>
      </c>
      <c r="O19" s="15"/>
      <c r="P19" s="15"/>
    </row>
    <row r="20" spans="1:16" s="12" customFormat="1" ht="30" customHeight="1" x14ac:dyDescent="0.35">
      <c r="A20" s="17"/>
      <c r="B20" s="59" t="s">
        <v>7</v>
      </c>
      <c r="C20" s="39" t="s">
        <v>8</v>
      </c>
      <c r="D20" s="34"/>
      <c r="E20" s="35" t="s">
        <v>35</v>
      </c>
      <c r="F20" s="36">
        <v>14</v>
      </c>
      <c r="G20" s="35" t="s">
        <v>40</v>
      </c>
      <c r="H20" s="35" t="s">
        <v>41</v>
      </c>
      <c r="I20" s="37" t="s">
        <v>170</v>
      </c>
      <c r="J20" s="39">
        <v>44496</v>
      </c>
      <c r="K20" s="35" t="s">
        <v>35</v>
      </c>
      <c r="L20" s="15"/>
      <c r="M20" s="37" t="s">
        <v>174</v>
      </c>
      <c r="N20" s="38">
        <v>0.6</v>
      </c>
      <c r="O20" s="15"/>
      <c r="P20" s="15"/>
    </row>
    <row r="21" spans="1:16" s="12" customFormat="1" ht="30" customHeight="1" x14ac:dyDescent="0.35">
      <c r="A21" s="17"/>
      <c r="B21" s="62" t="s">
        <v>7</v>
      </c>
      <c r="C21" s="40" t="s">
        <v>8</v>
      </c>
      <c r="D21" s="34"/>
      <c r="E21" s="35" t="s">
        <v>42</v>
      </c>
      <c r="F21" s="36">
        <v>15</v>
      </c>
      <c r="G21" s="35" t="s">
        <v>43</v>
      </c>
      <c r="H21" s="35" t="s">
        <v>44</v>
      </c>
      <c r="I21" s="37" t="s">
        <v>170</v>
      </c>
      <c r="J21" s="40">
        <v>44496</v>
      </c>
      <c r="K21" s="35" t="s">
        <v>42</v>
      </c>
      <c r="L21" s="15"/>
      <c r="M21" s="37" t="s">
        <v>173</v>
      </c>
      <c r="N21" s="38">
        <v>0.6</v>
      </c>
      <c r="O21" s="15"/>
      <c r="P21" s="15"/>
    </row>
    <row r="22" spans="1:16" s="12" customFormat="1" ht="30" customHeight="1" x14ac:dyDescent="0.35">
      <c r="A22" s="17"/>
      <c r="B22" s="62" t="s">
        <v>7</v>
      </c>
      <c r="C22" s="40" t="s">
        <v>8</v>
      </c>
      <c r="D22" s="34"/>
      <c r="E22" s="35" t="s">
        <v>42</v>
      </c>
      <c r="F22" s="36">
        <v>16</v>
      </c>
      <c r="G22" s="35" t="s">
        <v>45</v>
      </c>
      <c r="H22" s="35" t="s">
        <v>46</v>
      </c>
      <c r="I22" s="37" t="s">
        <v>170</v>
      </c>
      <c r="J22" s="40">
        <v>44496</v>
      </c>
      <c r="K22" s="35" t="s">
        <v>42</v>
      </c>
      <c r="L22" s="15"/>
      <c r="M22" s="37" t="s">
        <v>173</v>
      </c>
      <c r="N22" s="38">
        <v>0.6</v>
      </c>
      <c r="O22" s="15"/>
      <c r="P22" s="15"/>
    </row>
    <row r="23" spans="1:16" s="12" customFormat="1" ht="30" customHeight="1" x14ac:dyDescent="0.35">
      <c r="A23" s="17"/>
      <c r="B23" s="59" t="s">
        <v>7</v>
      </c>
      <c r="C23" s="39" t="s">
        <v>8</v>
      </c>
      <c r="D23" s="34"/>
      <c r="E23" s="35" t="s">
        <v>47</v>
      </c>
      <c r="F23" s="36">
        <v>17</v>
      </c>
      <c r="G23" s="35" t="s">
        <v>48</v>
      </c>
      <c r="H23" s="35" t="s">
        <v>49</v>
      </c>
      <c r="I23" s="37" t="s">
        <v>170</v>
      </c>
      <c r="J23" s="39">
        <v>44496</v>
      </c>
      <c r="K23" s="35" t="s">
        <v>47</v>
      </c>
      <c r="L23" s="15"/>
      <c r="M23" s="37" t="s">
        <v>173</v>
      </c>
      <c r="N23" s="38">
        <v>0.5</v>
      </c>
      <c r="O23" s="15"/>
      <c r="P23" s="15"/>
    </row>
    <row r="24" spans="1:16" s="12" customFormat="1" ht="30" customHeight="1" x14ac:dyDescent="0.35">
      <c r="A24" s="17"/>
      <c r="B24" s="59" t="s">
        <v>7</v>
      </c>
      <c r="C24" s="39" t="s">
        <v>8</v>
      </c>
      <c r="D24" s="34"/>
      <c r="E24" s="35" t="s">
        <v>50</v>
      </c>
      <c r="F24" s="36">
        <v>18</v>
      </c>
      <c r="G24" s="35" t="s">
        <v>51</v>
      </c>
      <c r="H24" s="35" t="s">
        <v>52</v>
      </c>
      <c r="I24" s="37" t="s">
        <v>170</v>
      </c>
      <c r="J24" s="39">
        <v>44496</v>
      </c>
      <c r="K24" s="35" t="s">
        <v>50</v>
      </c>
      <c r="L24" s="15"/>
      <c r="M24" s="37" t="s">
        <v>174</v>
      </c>
      <c r="N24" s="38">
        <v>0.54</v>
      </c>
      <c r="O24" s="15"/>
      <c r="P24" s="15"/>
    </row>
    <row r="25" spans="1:16" s="12" customFormat="1" ht="30" customHeight="1" x14ac:dyDescent="0.35">
      <c r="A25" s="17"/>
      <c r="B25" s="59" t="s">
        <v>7</v>
      </c>
      <c r="C25" s="39" t="s">
        <v>8</v>
      </c>
      <c r="D25" s="34"/>
      <c r="E25" s="35" t="s">
        <v>35</v>
      </c>
      <c r="F25" s="36">
        <v>19</v>
      </c>
      <c r="G25" s="35" t="s">
        <v>54</v>
      </c>
      <c r="H25" s="35" t="s">
        <v>55</v>
      </c>
      <c r="I25" s="37" t="s">
        <v>170</v>
      </c>
      <c r="J25" s="39">
        <v>44496</v>
      </c>
      <c r="K25" s="35" t="s">
        <v>35</v>
      </c>
      <c r="L25" s="15"/>
      <c r="M25" s="37" t="s">
        <v>173</v>
      </c>
      <c r="N25" s="38">
        <v>0.57999999999999996</v>
      </c>
      <c r="O25" s="15"/>
      <c r="P25" s="15"/>
    </row>
    <row r="26" spans="1:16" ht="30" customHeight="1" x14ac:dyDescent="0.35">
      <c r="A26" s="16"/>
      <c r="B26" s="59" t="s">
        <v>7</v>
      </c>
      <c r="C26" s="39" t="s">
        <v>8</v>
      </c>
      <c r="D26" s="34"/>
      <c r="E26" s="35" t="s">
        <v>35</v>
      </c>
      <c r="F26" s="36">
        <v>20</v>
      </c>
      <c r="G26" s="35" t="s">
        <v>57</v>
      </c>
      <c r="H26" s="35" t="s">
        <v>58</v>
      </c>
      <c r="I26" s="37" t="s">
        <v>169</v>
      </c>
      <c r="J26" s="39">
        <v>44563</v>
      </c>
      <c r="K26" s="35" t="s">
        <v>35</v>
      </c>
      <c r="L26" s="15"/>
      <c r="M26" s="37" t="s">
        <v>173</v>
      </c>
      <c r="N26" s="38">
        <v>0.3</v>
      </c>
      <c r="O26" s="15"/>
      <c r="P26" s="15"/>
    </row>
    <row r="27" spans="1:16" s="12" customFormat="1" ht="30" customHeight="1" x14ac:dyDescent="0.35">
      <c r="A27" s="17"/>
      <c r="B27" s="62" t="s">
        <v>7</v>
      </c>
      <c r="C27" s="40" t="s">
        <v>8</v>
      </c>
      <c r="D27" s="34"/>
      <c r="E27" s="35" t="s">
        <v>60</v>
      </c>
      <c r="F27" s="36">
        <v>21</v>
      </c>
      <c r="G27" s="35" t="s">
        <v>61</v>
      </c>
      <c r="H27" s="35" t="s">
        <v>62</v>
      </c>
      <c r="I27" s="37" t="s">
        <v>171</v>
      </c>
      <c r="J27" s="40">
        <v>44562</v>
      </c>
      <c r="K27" s="35" t="s">
        <v>60</v>
      </c>
      <c r="L27" s="33"/>
      <c r="M27" s="37" t="s">
        <v>175</v>
      </c>
      <c r="N27" s="38">
        <v>0.66</v>
      </c>
      <c r="O27" s="33"/>
      <c r="P27" s="33"/>
    </row>
    <row r="28" spans="1:16" s="12" customFormat="1" ht="30" customHeight="1" x14ac:dyDescent="0.35">
      <c r="A28" s="17"/>
      <c r="B28" s="59" t="s">
        <v>7</v>
      </c>
      <c r="C28" s="39" t="s">
        <v>8</v>
      </c>
      <c r="D28" s="34"/>
      <c r="E28" s="35" t="s">
        <v>64</v>
      </c>
      <c r="F28" s="36">
        <v>22</v>
      </c>
      <c r="G28" s="35" t="s">
        <v>65</v>
      </c>
      <c r="H28" s="35" t="s">
        <v>66</v>
      </c>
      <c r="I28" s="37" t="s">
        <v>169</v>
      </c>
      <c r="J28" s="40">
        <v>44562</v>
      </c>
      <c r="K28" s="35" t="s">
        <v>64</v>
      </c>
      <c r="L28" s="15"/>
      <c r="M28" s="37" t="s">
        <v>173</v>
      </c>
      <c r="N28" s="38">
        <v>0.2</v>
      </c>
      <c r="O28" s="15"/>
      <c r="P28" s="15"/>
    </row>
    <row r="29" spans="1:16" ht="30" customHeight="1" x14ac:dyDescent="0.35">
      <c r="A29" s="16"/>
      <c r="B29" s="59" t="s">
        <v>7</v>
      </c>
      <c r="C29" s="39" t="s">
        <v>8</v>
      </c>
      <c r="D29" s="34"/>
      <c r="E29" s="35" t="s">
        <v>64</v>
      </c>
      <c r="F29" s="36">
        <v>23</v>
      </c>
      <c r="G29" s="35" t="s">
        <v>68</v>
      </c>
      <c r="H29" s="35" t="s">
        <v>69</v>
      </c>
      <c r="I29" s="37" t="s">
        <v>170</v>
      </c>
      <c r="J29" s="40">
        <v>44562</v>
      </c>
      <c r="K29" s="35" t="s">
        <v>64</v>
      </c>
      <c r="L29" s="15"/>
      <c r="M29" s="37" t="s">
        <v>175</v>
      </c>
      <c r="N29" s="38">
        <v>0.74</v>
      </c>
      <c r="O29" s="15"/>
      <c r="P29" s="15"/>
    </row>
    <row r="30" spans="1:16" s="12" customFormat="1" ht="30" customHeight="1" x14ac:dyDescent="0.35">
      <c r="A30" s="17"/>
      <c r="B30" s="62" t="s">
        <v>7</v>
      </c>
      <c r="C30" s="40" t="s">
        <v>8</v>
      </c>
      <c r="D30" s="34"/>
      <c r="E30" s="35" t="s">
        <v>60</v>
      </c>
      <c r="F30" s="36">
        <v>24</v>
      </c>
      <c r="G30" s="35" t="s">
        <v>70</v>
      </c>
      <c r="H30" s="35" t="s">
        <v>71</v>
      </c>
      <c r="I30" s="37" t="s">
        <v>171</v>
      </c>
      <c r="J30" s="40">
        <v>44496</v>
      </c>
      <c r="K30" s="35" t="s">
        <v>60</v>
      </c>
      <c r="L30" s="33"/>
      <c r="M30" s="37" t="s">
        <v>173</v>
      </c>
      <c r="N30" s="38">
        <v>0.78</v>
      </c>
      <c r="O30" s="33"/>
      <c r="P30" s="33"/>
    </row>
    <row r="31" spans="1:16" s="12" customFormat="1" ht="30" customHeight="1" x14ac:dyDescent="0.35">
      <c r="A31" s="17"/>
      <c r="B31" s="59" t="s">
        <v>7</v>
      </c>
      <c r="C31" s="39" t="s">
        <v>8</v>
      </c>
      <c r="D31" s="34"/>
      <c r="E31" s="35" t="s">
        <v>64</v>
      </c>
      <c r="F31" s="36">
        <v>25</v>
      </c>
      <c r="G31" s="35" t="s">
        <v>72</v>
      </c>
      <c r="H31" s="35" t="s">
        <v>73</v>
      </c>
      <c r="I31" s="37" t="s">
        <v>170</v>
      </c>
      <c r="J31" s="40">
        <v>44562</v>
      </c>
      <c r="K31" s="35" t="s">
        <v>64</v>
      </c>
      <c r="L31" s="15"/>
      <c r="M31" s="37" t="s">
        <v>173</v>
      </c>
      <c r="N31" s="38">
        <v>0.75</v>
      </c>
      <c r="O31" s="15"/>
      <c r="P31" s="15"/>
    </row>
    <row r="32" spans="1:16" s="12" customFormat="1" ht="30" customHeight="1" x14ac:dyDescent="0.35">
      <c r="A32" s="17"/>
      <c r="B32" s="59" t="s">
        <v>7</v>
      </c>
      <c r="C32" s="39" t="s">
        <v>8</v>
      </c>
      <c r="D32" s="34"/>
      <c r="E32" s="35" t="s">
        <v>35</v>
      </c>
      <c r="F32" s="36">
        <v>26</v>
      </c>
      <c r="G32" s="35" t="s">
        <v>74</v>
      </c>
      <c r="H32" s="35" t="s">
        <v>75</v>
      </c>
      <c r="I32" s="37" t="s">
        <v>170</v>
      </c>
      <c r="J32" s="39">
        <v>44496</v>
      </c>
      <c r="K32" s="35" t="s">
        <v>35</v>
      </c>
      <c r="L32" s="15"/>
      <c r="M32" s="37" t="s">
        <v>173</v>
      </c>
      <c r="N32" s="38">
        <v>0.86</v>
      </c>
      <c r="O32" s="15"/>
      <c r="P32" s="15"/>
    </row>
    <row r="33" spans="1:16" s="12" customFormat="1" ht="30" customHeight="1" x14ac:dyDescent="0.35">
      <c r="A33" s="17"/>
      <c r="B33" s="59" t="s">
        <v>7</v>
      </c>
      <c r="C33" s="39" t="s">
        <v>8</v>
      </c>
      <c r="D33" s="34"/>
      <c r="E33" s="35" t="s">
        <v>35</v>
      </c>
      <c r="F33" s="36">
        <v>27</v>
      </c>
      <c r="G33" s="35" t="s">
        <v>76</v>
      </c>
      <c r="H33" s="35" t="s">
        <v>77</v>
      </c>
      <c r="I33" s="37" t="s">
        <v>171</v>
      </c>
      <c r="J33" s="39">
        <v>44496</v>
      </c>
      <c r="K33" s="35" t="s">
        <v>35</v>
      </c>
      <c r="L33" s="15"/>
      <c r="M33" s="37" t="s">
        <v>174</v>
      </c>
      <c r="N33" s="38">
        <v>0.9</v>
      </c>
      <c r="O33" s="15"/>
      <c r="P33" s="15"/>
    </row>
    <row r="34" spans="1:16" s="12" customFormat="1" ht="30" customHeight="1" x14ac:dyDescent="0.35">
      <c r="A34" s="17"/>
      <c r="B34" s="61" t="s">
        <v>7</v>
      </c>
      <c r="C34" s="44" t="s">
        <v>8</v>
      </c>
      <c r="D34" s="34"/>
      <c r="E34" s="35" t="s">
        <v>12</v>
      </c>
      <c r="F34" s="36">
        <v>28</v>
      </c>
      <c r="G34" s="35" t="s">
        <v>78</v>
      </c>
      <c r="H34" s="35" t="s">
        <v>79</v>
      </c>
      <c r="I34" s="37" t="s">
        <v>171</v>
      </c>
      <c r="J34" s="44">
        <v>44496</v>
      </c>
      <c r="K34" s="35" t="s">
        <v>12</v>
      </c>
      <c r="L34" s="15"/>
      <c r="M34" s="37" t="s">
        <v>173</v>
      </c>
      <c r="N34" s="38">
        <v>1</v>
      </c>
      <c r="O34" s="15"/>
      <c r="P34" s="15"/>
    </row>
    <row r="35" spans="1:16" s="12" customFormat="1" ht="30" customHeight="1" x14ac:dyDescent="0.35">
      <c r="A35" s="17"/>
      <c r="B35" s="59" t="s">
        <v>82</v>
      </c>
      <c r="C35" s="39" t="s">
        <v>83</v>
      </c>
      <c r="D35" s="34" t="s">
        <v>53</v>
      </c>
      <c r="E35" s="35" t="s">
        <v>12</v>
      </c>
      <c r="F35" s="36"/>
      <c r="G35" s="35"/>
      <c r="H35" s="35"/>
      <c r="I35" s="37"/>
      <c r="J35" s="40">
        <v>44731</v>
      </c>
      <c r="K35" s="35"/>
      <c r="L35" s="15"/>
      <c r="M35" s="37"/>
      <c r="N35" s="38"/>
      <c r="O35" s="15"/>
      <c r="P35" s="15"/>
    </row>
    <row r="36" spans="1:16" s="12" customFormat="1" ht="30" customHeight="1" x14ac:dyDescent="0.35">
      <c r="A36" s="17"/>
      <c r="B36" s="59" t="s">
        <v>82</v>
      </c>
      <c r="C36" s="39" t="s">
        <v>83</v>
      </c>
      <c r="D36" s="34" t="s">
        <v>56</v>
      </c>
      <c r="E36" s="35" t="s">
        <v>12</v>
      </c>
      <c r="F36" s="36"/>
      <c r="G36" s="35"/>
      <c r="H36" s="35"/>
      <c r="I36" s="37"/>
      <c r="J36" s="40">
        <v>44731</v>
      </c>
      <c r="K36" s="35"/>
      <c r="L36" s="15"/>
      <c r="M36" s="37"/>
      <c r="N36" s="38"/>
      <c r="O36" s="15"/>
      <c r="P36" s="15"/>
    </row>
    <row r="37" spans="1:16" s="12" customFormat="1" ht="30" customHeight="1" x14ac:dyDescent="0.35">
      <c r="A37" s="17"/>
      <c r="B37" s="59" t="s">
        <v>82</v>
      </c>
      <c r="C37" s="39" t="s">
        <v>83</v>
      </c>
      <c r="D37" s="34" t="s">
        <v>59</v>
      </c>
      <c r="E37" s="35" t="s">
        <v>12</v>
      </c>
      <c r="F37" s="36"/>
      <c r="G37" s="35"/>
      <c r="H37" s="35"/>
      <c r="I37" s="37"/>
      <c r="J37" s="40">
        <v>44731</v>
      </c>
      <c r="K37" s="35"/>
      <c r="L37" s="15"/>
      <c r="M37" s="37"/>
      <c r="N37" s="38"/>
      <c r="O37" s="15"/>
      <c r="P37" s="15"/>
    </row>
    <row r="38" spans="1:16" s="12" customFormat="1" ht="30" customHeight="1" x14ac:dyDescent="0.35">
      <c r="A38" s="17"/>
      <c r="B38" s="59" t="s">
        <v>82</v>
      </c>
      <c r="C38" s="39" t="s">
        <v>83</v>
      </c>
      <c r="D38" s="34" t="s">
        <v>63</v>
      </c>
      <c r="E38" s="35" t="s">
        <v>12</v>
      </c>
      <c r="F38" s="36"/>
      <c r="G38" s="35"/>
      <c r="H38" s="35"/>
      <c r="I38" s="37"/>
      <c r="J38" s="40">
        <v>44731</v>
      </c>
      <c r="K38" s="35"/>
      <c r="L38" s="15"/>
      <c r="M38" s="37"/>
      <c r="N38" s="38"/>
      <c r="O38" s="15"/>
      <c r="P38" s="15"/>
    </row>
    <row r="39" spans="1:16" s="12" customFormat="1" ht="30" customHeight="1" x14ac:dyDescent="0.35">
      <c r="A39" s="17"/>
      <c r="B39" s="59" t="s">
        <v>82</v>
      </c>
      <c r="C39" s="39" t="s">
        <v>83</v>
      </c>
      <c r="D39" s="34" t="s">
        <v>67</v>
      </c>
      <c r="E39" s="35" t="s">
        <v>12</v>
      </c>
      <c r="F39" s="36"/>
      <c r="G39" s="35"/>
      <c r="H39" s="35"/>
      <c r="I39" s="37"/>
      <c r="J39" s="40">
        <v>44731</v>
      </c>
      <c r="K39" s="35"/>
      <c r="L39" s="15"/>
      <c r="M39" s="37"/>
      <c r="N39" s="38"/>
      <c r="O39" s="15"/>
      <c r="P39" s="15"/>
    </row>
    <row r="40" spans="1:16" s="12" customFormat="1" ht="30" customHeight="1" x14ac:dyDescent="0.35">
      <c r="A40" s="17"/>
      <c r="B40" s="61" t="s">
        <v>82</v>
      </c>
      <c r="C40" s="40" t="s">
        <v>83</v>
      </c>
      <c r="D40" s="34"/>
      <c r="E40" s="35" t="s">
        <v>12</v>
      </c>
      <c r="F40" s="36">
        <v>29</v>
      </c>
      <c r="G40" s="35" t="s">
        <v>80</v>
      </c>
      <c r="H40" s="35" t="s">
        <v>81</v>
      </c>
      <c r="I40" s="37" t="s">
        <v>171</v>
      </c>
      <c r="J40" s="40">
        <v>44731</v>
      </c>
      <c r="K40" s="35" t="s">
        <v>12</v>
      </c>
      <c r="L40" s="15"/>
      <c r="M40" s="37" t="s">
        <v>174</v>
      </c>
      <c r="N40" s="38">
        <v>0.57999999999999996</v>
      </c>
      <c r="O40" s="15"/>
      <c r="P40" s="15"/>
    </row>
    <row r="41" spans="1:16" s="12" customFormat="1" ht="30" customHeight="1" x14ac:dyDescent="0.35">
      <c r="A41" s="17"/>
      <c r="B41" s="61" t="s">
        <v>82</v>
      </c>
      <c r="C41" s="40" t="s">
        <v>83</v>
      </c>
      <c r="D41" s="34"/>
      <c r="E41" s="35" t="s">
        <v>47</v>
      </c>
      <c r="F41" s="36">
        <v>30</v>
      </c>
      <c r="G41" s="35" t="s">
        <v>84</v>
      </c>
      <c r="H41" s="35" t="s">
        <v>85</v>
      </c>
      <c r="I41" s="37" t="s">
        <v>171</v>
      </c>
      <c r="J41" s="40">
        <v>44731</v>
      </c>
      <c r="K41" s="35" t="s">
        <v>47</v>
      </c>
      <c r="L41" s="15"/>
      <c r="M41" s="37" t="s">
        <v>174</v>
      </c>
      <c r="N41" s="38">
        <v>0.62</v>
      </c>
      <c r="O41" s="15"/>
      <c r="P41" s="15"/>
    </row>
    <row r="42" spans="1:16" s="12" customFormat="1" ht="30" customHeight="1" x14ac:dyDescent="0.35">
      <c r="A42" s="17"/>
      <c r="B42" s="59" t="s">
        <v>82</v>
      </c>
      <c r="C42" s="39" t="s">
        <v>83</v>
      </c>
      <c r="D42" s="34"/>
      <c r="E42" s="35" t="s">
        <v>35</v>
      </c>
      <c r="F42" s="36">
        <v>31</v>
      </c>
      <c r="G42" s="35" t="s">
        <v>86</v>
      </c>
      <c r="H42" s="35" t="s">
        <v>87</v>
      </c>
      <c r="I42" s="37" t="s">
        <v>170</v>
      </c>
      <c r="J42" s="39">
        <v>44731</v>
      </c>
      <c r="K42" s="35" t="s">
        <v>35</v>
      </c>
      <c r="L42" s="15"/>
      <c r="M42" s="37" t="s">
        <v>173</v>
      </c>
      <c r="N42" s="38">
        <v>0.66</v>
      </c>
      <c r="O42" s="15"/>
      <c r="P42" s="15"/>
    </row>
    <row r="43" spans="1:16" s="12" customFormat="1" ht="30" customHeight="1" x14ac:dyDescent="0.35">
      <c r="A43" s="17"/>
      <c r="B43" s="59" t="s">
        <v>82</v>
      </c>
      <c r="C43" s="39" t="s">
        <v>83</v>
      </c>
      <c r="D43" s="34"/>
      <c r="E43" s="35" t="s">
        <v>35</v>
      </c>
      <c r="F43" s="36">
        <v>32</v>
      </c>
      <c r="G43" s="35" t="s">
        <v>88</v>
      </c>
      <c r="H43" s="35" t="s">
        <v>89</v>
      </c>
      <c r="I43" s="37" t="s">
        <v>170</v>
      </c>
      <c r="J43" s="39">
        <v>44731</v>
      </c>
      <c r="K43" s="35" t="s">
        <v>35</v>
      </c>
      <c r="L43" s="15"/>
      <c r="M43" s="37" t="s">
        <v>174</v>
      </c>
      <c r="N43" s="38">
        <v>0.7</v>
      </c>
      <c r="O43" s="15"/>
      <c r="P43" s="15"/>
    </row>
    <row r="44" spans="1:16" s="12" customFormat="1" ht="30" customHeight="1" x14ac:dyDescent="0.35">
      <c r="A44" s="17"/>
      <c r="B44" s="59" t="s">
        <v>82</v>
      </c>
      <c r="C44" s="39" t="s">
        <v>83</v>
      </c>
      <c r="D44" s="34"/>
      <c r="E44" s="35" t="s">
        <v>35</v>
      </c>
      <c r="F44" s="36">
        <v>33</v>
      </c>
      <c r="G44" s="35" t="s">
        <v>90</v>
      </c>
      <c r="H44" s="35" t="s">
        <v>91</v>
      </c>
      <c r="I44" s="37" t="s">
        <v>171</v>
      </c>
      <c r="J44" s="39">
        <v>44731</v>
      </c>
      <c r="K44" s="35" t="s">
        <v>35</v>
      </c>
      <c r="L44" s="15"/>
      <c r="M44" s="37" t="s">
        <v>174</v>
      </c>
      <c r="N44" s="38">
        <v>0.74</v>
      </c>
      <c r="O44" s="15"/>
      <c r="P44" s="15"/>
    </row>
    <row r="45" spans="1:16" s="12" customFormat="1" ht="30" customHeight="1" x14ac:dyDescent="0.35">
      <c r="A45" s="17"/>
      <c r="B45" s="59" t="s">
        <v>82</v>
      </c>
      <c r="C45" s="39" t="s">
        <v>83</v>
      </c>
      <c r="D45" s="34"/>
      <c r="E45" s="35" t="s">
        <v>35</v>
      </c>
      <c r="F45" s="36">
        <v>34</v>
      </c>
      <c r="G45" s="35" t="s">
        <v>92</v>
      </c>
      <c r="H45" s="35" t="s">
        <v>93</v>
      </c>
      <c r="I45" s="37" t="s">
        <v>170</v>
      </c>
      <c r="J45" s="39">
        <v>44731</v>
      </c>
      <c r="K45" s="35" t="s">
        <v>35</v>
      </c>
      <c r="L45" s="15"/>
      <c r="M45" s="37" t="s">
        <v>174</v>
      </c>
      <c r="N45" s="38">
        <v>0.78</v>
      </c>
      <c r="O45" s="15"/>
      <c r="P45" s="15"/>
    </row>
    <row r="46" spans="1:16" s="12" customFormat="1" ht="30" customHeight="1" x14ac:dyDescent="0.35">
      <c r="A46" s="17"/>
      <c r="B46" s="59" t="s">
        <v>82</v>
      </c>
      <c r="C46" s="39" t="s">
        <v>83</v>
      </c>
      <c r="D46" s="34"/>
      <c r="E46" s="35" t="s">
        <v>35</v>
      </c>
      <c r="F46" s="36">
        <v>35</v>
      </c>
      <c r="G46" s="35" t="s">
        <v>94</v>
      </c>
      <c r="H46" s="35" t="s">
        <v>95</v>
      </c>
      <c r="I46" s="37" t="s">
        <v>170</v>
      </c>
      <c r="J46" s="39">
        <v>44731</v>
      </c>
      <c r="K46" s="35" t="s">
        <v>35</v>
      </c>
      <c r="L46" s="15"/>
      <c r="M46" s="37" t="s">
        <v>173</v>
      </c>
      <c r="N46" s="38">
        <v>0.82</v>
      </c>
      <c r="O46" s="15"/>
      <c r="P46" s="15"/>
    </row>
    <row r="47" spans="1:16" s="12" customFormat="1" ht="30" customHeight="1" x14ac:dyDescent="0.35">
      <c r="A47" s="17"/>
      <c r="B47" s="59" t="s">
        <v>82</v>
      </c>
      <c r="C47" s="39" t="s">
        <v>83</v>
      </c>
      <c r="D47" s="34"/>
      <c r="E47" s="35" t="s">
        <v>35</v>
      </c>
      <c r="F47" s="36">
        <v>36</v>
      </c>
      <c r="G47" s="35" t="s">
        <v>96</v>
      </c>
      <c r="H47" s="35" t="s">
        <v>97</v>
      </c>
      <c r="I47" s="37" t="s">
        <v>171</v>
      </c>
      <c r="J47" s="39">
        <v>44731</v>
      </c>
      <c r="K47" s="35" t="s">
        <v>35</v>
      </c>
      <c r="L47" s="15"/>
      <c r="M47" s="37" t="s">
        <v>174</v>
      </c>
      <c r="N47" s="38">
        <v>0.86</v>
      </c>
      <c r="O47" s="15"/>
      <c r="P47" s="15"/>
    </row>
    <row r="48" spans="1:16" s="12" customFormat="1" ht="30" customHeight="1" x14ac:dyDescent="0.35">
      <c r="A48" s="17"/>
      <c r="B48" s="62" t="s">
        <v>82</v>
      </c>
      <c r="C48" s="40" t="s">
        <v>83</v>
      </c>
      <c r="D48" s="34"/>
      <c r="E48" s="35" t="s">
        <v>98</v>
      </c>
      <c r="F48" s="36">
        <v>37</v>
      </c>
      <c r="G48" s="35" t="s">
        <v>99</v>
      </c>
      <c r="H48" s="35" t="s">
        <v>100</v>
      </c>
      <c r="I48" s="37" t="s">
        <v>170</v>
      </c>
      <c r="J48" s="40">
        <v>44731</v>
      </c>
      <c r="K48" s="35" t="s">
        <v>124</v>
      </c>
      <c r="L48" s="15"/>
      <c r="M48" s="37" t="s">
        <v>174</v>
      </c>
      <c r="N48" s="38">
        <v>0.9</v>
      </c>
      <c r="O48" s="15"/>
      <c r="P48" s="15"/>
    </row>
    <row r="49" spans="1:16" s="12" customFormat="1" ht="30" customHeight="1" x14ac:dyDescent="0.35">
      <c r="A49" s="17"/>
      <c r="B49" s="62" t="s">
        <v>82</v>
      </c>
      <c r="C49" s="40" t="s">
        <v>83</v>
      </c>
      <c r="D49" s="34"/>
      <c r="E49" s="35" t="s">
        <v>98</v>
      </c>
      <c r="F49" s="36">
        <v>38</v>
      </c>
      <c r="G49" s="35" t="s">
        <v>101</v>
      </c>
      <c r="H49" s="35" t="s">
        <v>102</v>
      </c>
      <c r="I49" s="37" t="s">
        <v>171</v>
      </c>
      <c r="J49" s="40">
        <v>44731</v>
      </c>
      <c r="K49" s="35" t="s">
        <v>60</v>
      </c>
      <c r="L49" s="15"/>
      <c r="M49" s="37" t="s">
        <v>173</v>
      </c>
      <c r="N49" s="38">
        <v>0.9</v>
      </c>
      <c r="O49" s="15"/>
      <c r="P49" s="15"/>
    </row>
    <row r="50" spans="1:16" s="12" customFormat="1" ht="30" customHeight="1" x14ac:dyDescent="0.35">
      <c r="A50" s="17"/>
      <c r="B50" s="62" t="s">
        <v>82</v>
      </c>
      <c r="C50" s="40" t="s">
        <v>83</v>
      </c>
      <c r="D50" s="34"/>
      <c r="E50" s="35" t="s">
        <v>98</v>
      </c>
      <c r="F50" s="36">
        <v>39</v>
      </c>
      <c r="G50" s="35" t="s">
        <v>103</v>
      </c>
      <c r="H50" s="35" t="s">
        <v>104</v>
      </c>
      <c r="I50" s="37" t="s">
        <v>170</v>
      </c>
      <c r="J50" s="40">
        <v>44731</v>
      </c>
      <c r="K50" s="35" t="s">
        <v>35</v>
      </c>
      <c r="L50" s="15"/>
      <c r="M50" s="37" t="s">
        <v>174</v>
      </c>
      <c r="N50" s="38">
        <v>0.6</v>
      </c>
      <c r="O50" s="15"/>
      <c r="P50" s="15"/>
    </row>
    <row r="51" spans="1:16" s="12" customFormat="1" ht="30" customHeight="1" x14ac:dyDescent="0.35">
      <c r="A51" s="17"/>
      <c r="B51" s="62" t="s">
        <v>82</v>
      </c>
      <c r="C51" s="40" t="s">
        <v>83</v>
      </c>
      <c r="D51" s="34"/>
      <c r="E51" s="35" t="s">
        <v>98</v>
      </c>
      <c r="F51" s="36">
        <v>40</v>
      </c>
      <c r="G51" s="35" t="s">
        <v>105</v>
      </c>
      <c r="H51" s="35" t="s">
        <v>106</v>
      </c>
      <c r="I51" s="37" t="s">
        <v>171</v>
      </c>
      <c r="J51" s="40">
        <v>44731</v>
      </c>
      <c r="K51" s="35" t="s">
        <v>60</v>
      </c>
      <c r="L51" s="15"/>
      <c r="M51" s="37" t="s">
        <v>175</v>
      </c>
      <c r="N51" s="38">
        <v>0.1</v>
      </c>
      <c r="O51" s="15"/>
      <c r="P51" s="15"/>
    </row>
    <row r="52" spans="1:16" s="12" customFormat="1" ht="30" customHeight="1" x14ac:dyDescent="0.35">
      <c r="A52" s="17"/>
      <c r="B52" s="62" t="s">
        <v>82</v>
      </c>
      <c r="C52" s="40" t="s">
        <v>83</v>
      </c>
      <c r="D52" s="34"/>
      <c r="E52" s="35" t="s">
        <v>98</v>
      </c>
      <c r="F52" s="36">
        <v>41</v>
      </c>
      <c r="G52" s="35" t="s">
        <v>107</v>
      </c>
      <c r="H52" s="35" t="s">
        <v>108</v>
      </c>
      <c r="I52" s="37" t="s">
        <v>170</v>
      </c>
      <c r="J52" s="40">
        <v>44731</v>
      </c>
      <c r="K52" s="35" t="s">
        <v>98</v>
      </c>
      <c r="L52" s="15"/>
      <c r="M52" s="37" t="s">
        <v>174</v>
      </c>
      <c r="N52" s="38">
        <v>0.6</v>
      </c>
      <c r="O52" s="15"/>
      <c r="P52" s="15"/>
    </row>
    <row r="53" spans="1:16" s="12" customFormat="1" ht="30" customHeight="1" x14ac:dyDescent="0.35">
      <c r="A53" s="17"/>
      <c r="B53" s="62" t="s">
        <v>82</v>
      </c>
      <c r="C53" s="40" t="s">
        <v>83</v>
      </c>
      <c r="D53" s="41"/>
      <c r="E53" s="35" t="s">
        <v>109</v>
      </c>
      <c r="F53" s="36">
        <v>42</v>
      </c>
      <c r="G53" s="35" t="s">
        <v>110</v>
      </c>
      <c r="H53" s="35" t="s">
        <v>111</v>
      </c>
      <c r="I53" s="37" t="s">
        <v>170</v>
      </c>
      <c r="J53" s="40">
        <v>44731</v>
      </c>
      <c r="K53" s="35" t="s">
        <v>109</v>
      </c>
      <c r="L53" s="15"/>
      <c r="M53" s="37" t="s">
        <v>173</v>
      </c>
      <c r="N53" s="38">
        <v>0.5</v>
      </c>
      <c r="O53" s="15"/>
      <c r="P53" s="15"/>
    </row>
    <row r="54" spans="1:16" s="12" customFormat="1" ht="30" customHeight="1" x14ac:dyDescent="0.35">
      <c r="A54" s="17"/>
      <c r="B54" s="62" t="s">
        <v>82</v>
      </c>
      <c r="C54" s="40" t="s">
        <v>83</v>
      </c>
      <c r="D54" s="41"/>
      <c r="E54" s="35" t="s">
        <v>98</v>
      </c>
      <c r="F54" s="36">
        <v>43</v>
      </c>
      <c r="G54" s="35" t="s">
        <v>112</v>
      </c>
      <c r="H54" s="35" t="s">
        <v>113</v>
      </c>
      <c r="I54" s="37" t="s">
        <v>171</v>
      </c>
      <c r="J54" s="40">
        <v>44731</v>
      </c>
      <c r="K54" s="35" t="s">
        <v>98</v>
      </c>
      <c r="L54" s="15"/>
      <c r="M54" s="37" t="s">
        <v>174</v>
      </c>
      <c r="N54" s="38">
        <v>0.54</v>
      </c>
      <c r="O54" s="15"/>
      <c r="P54" s="15"/>
    </row>
    <row r="55" spans="1:16" s="12" customFormat="1" ht="30" customHeight="1" x14ac:dyDescent="0.35">
      <c r="A55" s="17"/>
      <c r="B55" s="61" t="s">
        <v>82</v>
      </c>
      <c r="C55" s="40" t="s">
        <v>83</v>
      </c>
      <c r="D55" s="41"/>
      <c r="E55" s="35" t="s">
        <v>12</v>
      </c>
      <c r="F55" s="36">
        <v>44</v>
      </c>
      <c r="G55" s="35" t="s">
        <v>114</v>
      </c>
      <c r="H55" s="35" t="s">
        <v>115</v>
      </c>
      <c r="I55" s="37" t="s">
        <v>171</v>
      </c>
      <c r="J55" s="40">
        <v>44731</v>
      </c>
      <c r="K55" s="35" t="s">
        <v>64</v>
      </c>
      <c r="L55" s="15"/>
      <c r="M55" s="37" t="s">
        <v>175</v>
      </c>
      <c r="N55" s="38">
        <v>0.57999999999999996</v>
      </c>
      <c r="O55" s="15"/>
      <c r="P55" s="15"/>
    </row>
    <row r="56" spans="1:16" s="12" customFormat="1" ht="30" customHeight="1" x14ac:dyDescent="0.35">
      <c r="A56" s="17"/>
      <c r="B56" s="59" t="s">
        <v>82</v>
      </c>
      <c r="C56" s="39" t="s">
        <v>83</v>
      </c>
      <c r="D56" s="41"/>
      <c r="E56" s="35" t="s">
        <v>35</v>
      </c>
      <c r="F56" s="36">
        <v>45</v>
      </c>
      <c r="G56" s="35" t="s">
        <v>116</v>
      </c>
      <c r="H56" s="35" t="s">
        <v>117</v>
      </c>
      <c r="I56" s="37" t="s">
        <v>169</v>
      </c>
      <c r="J56" s="39">
        <v>44731</v>
      </c>
      <c r="K56" s="35" t="s">
        <v>35</v>
      </c>
      <c r="L56" s="15"/>
      <c r="M56" s="37" t="s">
        <v>173</v>
      </c>
      <c r="N56" s="38">
        <v>0.62</v>
      </c>
      <c r="O56" s="15"/>
      <c r="P56" s="15"/>
    </row>
    <row r="57" spans="1:16" s="12" customFormat="1" ht="31" x14ac:dyDescent="0.35">
      <c r="A57" s="17"/>
      <c r="B57" s="62" t="s">
        <v>82</v>
      </c>
      <c r="C57" s="40" t="s">
        <v>83</v>
      </c>
      <c r="D57" s="41"/>
      <c r="E57" s="35" t="s">
        <v>98</v>
      </c>
      <c r="F57" s="36">
        <v>46</v>
      </c>
      <c r="G57" s="35" t="s">
        <v>118</v>
      </c>
      <c r="H57" s="35" t="s">
        <v>119</v>
      </c>
      <c r="I57" s="37" t="s">
        <v>170</v>
      </c>
      <c r="J57" s="40">
        <v>44731</v>
      </c>
      <c r="K57" s="35" t="s">
        <v>98</v>
      </c>
      <c r="L57" s="15"/>
      <c r="M57" s="37" t="s">
        <v>173</v>
      </c>
      <c r="N57" s="38">
        <v>0.66</v>
      </c>
      <c r="O57" s="15"/>
      <c r="P57" s="15"/>
    </row>
    <row r="58" spans="1:16" s="12" customFormat="1" ht="27.5" customHeight="1" x14ac:dyDescent="0.35">
      <c r="A58" s="17"/>
      <c r="B58" s="63" t="s">
        <v>131</v>
      </c>
      <c r="C58" s="45" t="s">
        <v>132</v>
      </c>
      <c r="D58" s="34" t="s">
        <v>133</v>
      </c>
      <c r="E58" s="35" t="s">
        <v>12</v>
      </c>
      <c r="F58" s="36"/>
      <c r="G58" s="35"/>
      <c r="H58" s="35"/>
      <c r="I58" s="37"/>
      <c r="J58" s="42">
        <v>44742</v>
      </c>
      <c r="K58" s="35"/>
      <c r="L58" s="15"/>
      <c r="M58" s="37"/>
      <c r="N58" s="38"/>
      <c r="O58" s="15"/>
      <c r="P58" s="15"/>
    </row>
    <row r="59" spans="1:16" s="12" customFormat="1" ht="30" customHeight="1" x14ac:dyDescent="0.35">
      <c r="A59" s="17"/>
      <c r="B59" s="63" t="s">
        <v>131</v>
      </c>
      <c r="C59" s="45" t="s">
        <v>132</v>
      </c>
      <c r="D59" s="34" t="s">
        <v>134</v>
      </c>
      <c r="E59" s="35" t="s">
        <v>12</v>
      </c>
      <c r="F59" s="36"/>
      <c r="G59" s="35"/>
      <c r="H59" s="35"/>
      <c r="I59" s="37"/>
      <c r="J59" s="42">
        <v>44742</v>
      </c>
      <c r="K59" s="35"/>
      <c r="L59" s="15"/>
      <c r="M59" s="37"/>
      <c r="N59" s="38"/>
      <c r="O59" s="15"/>
      <c r="P59" s="15"/>
    </row>
    <row r="60" spans="1:16" s="12" customFormat="1" ht="30" customHeight="1" x14ac:dyDescent="0.35">
      <c r="A60" s="17"/>
      <c r="B60" s="63" t="s">
        <v>131</v>
      </c>
      <c r="C60" s="45" t="s">
        <v>132</v>
      </c>
      <c r="D60" s="34" t="s">
        <v>135</v>
      </c>
      <c r="E60" s="35" t="s">
        <v>12</v>
      </c>
      <c r="F60" s="36"/>
      <c r="G60" s="35"/>
      <c r="H60" s="35"/>
      <c r="I60" s="37"/>
      <c r="J60" s="42">
        <v>44742</v>
      </c>
      <c r="K60" s="35"/>
      <c r="L60" s="15"/>
      <c r="M60" s="37"/>
      <c r="N60" s="38"/>
      <c r="O60" s="15"/>
      <c r="P60" s="15"/>
    </row>
    <row r="61" spans="1:16" s="12" customFormat="1" ht="30" customHeight="1" x14ac:dyDescent="0.35">
      <c r="A61" s="17"/>
      <c r="B61" s="63" t="s">
        <v>131</v>
      </c>
      <c r="C61" s="45" t="s">
        <v>132</v>
      </c>
      <c r="D61" s="34" t="s">
        <v>136</v>
      </c>
      <c r="E61" s="35" t="s">
        <v>12</v>
      </c>
      <c r="F61" s="36"/>
      <c r="G61" s="35"/>
      <c r="H61" s="35"/>
      <c r="I61" s="37"/>
      <c r="J61" s="42">
        <v>44742</v>
      </c>
      <c r="K61" s="35"/>
      <c r="L61" s="15"/>
      <c r="M61" s="37"/>
      <c r="N61" s="38"/>
      <c r="O61" s="15"/>
      <c r="P61" s="15"/>
    </row>
    <row r="62" spans="1:16" s="12" customFormat="1" ht="30" customHeight="1" x14ac:dyDescent="0.35">
      <c r="A62" s="17"/>
      <c r="B62" s="63" t="s">
        <v>131</v>
      </c>
      <c r="C62" s="45" t="s">
        <v>132</v>
      </c>
      <c r="D62" s="34" t="s">
        <v>137</v>
      </c>
      <c r="E62" s="35" t="s">
        <v>12</v>
      </c>
      <c r="F62" s="36"/>
      <c r="G62" s="35"/>
      <c r="H62" s="35"/>
      <c r="I62" s="37"/>
      <c r="J62" s="42">
        <v>44742</v>
      </c>
      <c r="K62" s="35"/>
      <c r="L62" s="15"/>
      <c r="M62" s="37"/>
      <c r="N62" s="38"/>
      <c r="O62" s="15"/>
      <c r="P62" s="15"/>
    </row>
    <row r="63" spans="1:16" ht="30" customHeight="1" x14ac:dyDescent="0.35">
      <c r="A63" s="16"/>
      <c r="B63" s="64" t="s">
        <v>131</v>
      </c>
      <c r="C63" s="42" t="s">
        <v>132</v>
      </c>
      <c r="D63" s="34"/>
      <c r="E63" s="35" t="s">
        <v>12</v>
      </c>
      <c r="F63" s="36">
        <v>47</v>
      </c>
      <c r="G63" s="35" t="s">
        <v>120</v>
      </c>
      <c r="H63" s="35" t="s">
        <v>121</v>
      </c>
      <c r="I63" s="37" t="s">
        <v>171</v>
      </c>
      <c r="J63" s="42">
        <v>44742</v>
      </c>
      <c r="K63" s="35" t="s">
        <v>109</v>
      </c>
      <c r="L63" s="15"/>
      <c r="M63" s="37" t="s">
        <v>173</v>
      </c>
      <c r="N63" s="38">
        <v>0.9</v>
      </c>
      <c r="O63" s="15"/>
      <c r="P63" s="15"/>
    </row>
    <row r="64" spans="1:16" s="12" customFormat="1" ht="30" customHeight="1" x14ac:dyDescent="0.35">
      <c r="A64" s="17"/>
      <c r="B64" s="64" t="s">
        <v>131</v>
      </c>
      <c r="C64" s="42" t="s">
        <v>132</v>
      </c>
      <c r="D64" s="34"/>
      <c r="E64" s="35" t="s">
        <v>60</v>
      </c>
      <c r="F64" s="36">
        <v>48</v>
      </c>
      <c r="G64" s="35" t="s">
        <v>122</v>
      </c>
      <c r="H64" s="35" t="s">
        <v>123</v>
      </c>
      <c r="I64" s="37" t="s">
        <v>170</v>
      </c>
      <c r="J64" s="42">
        <v>44742</v>
      </c>
      <c r="K64" s="35" t="s">
        <v>60</v>
      </c>
      <c r="L64" s="33"/>
      <c r="M64" s="37" t="s">
        <v>175</v>
      </c>
      <c r="N64" s="38">
        <v>0.3</v>
      </c>
      <c r="O64" s="33"/>
      <c r="P64" s="33"/>
    </row>
    <row r="65" spans="1:16" s="12" customFormat="1" ht="30" customHeight="1" x14ac:dyDescent="0.35">
      <c r="A65" s="17"/>
      <c r="B65" s="65" t="s">
        <v>131</v>
      </c>
      <c r="C65" s="42" t="s">
        <v>132</v>
      </c>
      <c r="D65" s="34"/>
      <c r="E65" s="35" t="s">
        <v>124</v>
      </c>
      <c r="F65" s="36">
        <v>49</v>
      </c>
      <c r="G65" s="35" t="s">
        <v>125</v>
      </c>
      <c r="H65" s="35" t="s">
        <v>126</v>
      </c>
      <c r="I65" s="37" t="s">
        <v>171</v>
      </c>
      <c r="J65" s="42">
        <v>44742</v>
      </c>
      <c r="K65" s="35" t="s">
        <v>124</v>
      </c>
      <c r="L65" s="15"/>
      <c r="M65" s="37" t="s">
        <v>174</v>
      </c>
      <c r="N65" s="38">
        <v>0.6</v>
      </c>
      <c r="O65" s="15"/>
      <c r="P65" s="15"/>
    </row>
    <row r="66" spans="1:16" s="12" customFormat="1" ht="30" customHeight="1" x14ac:dyDescent="0.35">
      <c r="A66" s="17"/>
      <c r="B66" s="64" t="s">
        <v>131</v>
      </c>
      <c r="C66" s="42" t="s">
        <v>132</v>
      </c>
      <c r="D66" s="34"/>
      <c r="E66" s="35" t="s">
        <v>42</v>
      </c>
      <c r="F66" s="36">
        <v>50</v>
      </c>
      <c r="G66" s="35" t="s">
        <v>127</v>
      </c>
      <c r="H66" s="35" t="s">
        <v>128</v>
      </c>
      <c r="I66" s="37" t="s">
        <v>170</v>
      </c>
      <c r="J66" s="42">
        <v>44742</v>
      </c>
      <c r="K66" s="35" t="s">
        <v>42</v>
      </c>
      <c r="L66" s="15"/>
      <c r="M66" s="37" t="s">
        <v>174</v>
      </c>
      <c r="N66" s="38">
        <v>0.7</v>
      </c>
      <c r="O66" s="15"/>
      <c r="P66" s="15"/>
    </row>
    <row r="67" spans="1:16" s="12" customFormat="1" ht="30" customHeight="1" x14ac:dyDescent="0.35">
      <c r="A67" s="18"/>
      <c r="B67" s="64" t="s">
        <v>131</v>
      </c>
      <c r="C67" s="42" t="s">
        <v>132</v>
      </c>
      <c r="D67" s="34"/>
      <c r="E67" s="35" t="s">
        <v>42</v>
      </c>
      <c r="F67" s="36">
        <v>51</v>
      </c>
      <c r="G67" s="35" t="s">
        <v>129</v>
      </c>
      <c r="H67" s="35" t="s">
        <v>130</v>
      </c>
      <c r="I67" s="37" t="s">
        <v>170</v>
      </c>
      <c r="J67" s="42">
        <v>44742</v>
      </c>
      <c r="K67" s="35" t="s">
        <v>42</v>
      </c>
      <c r="L67" s="15"/>
      <c r="M67" s="37" t="s">
        <v>173</v>
      </c>
      <c r="N67" s="38">
        <v>0.6</v>
      </c>
      <c r="O67" s="15"/>
      <c r="P67" s="15"/>
    </row>
    <row r="68" spans="1:16" ht="31" x14ac:dyDescent="0.35">
      <c r="B68" s="65" t="s">
        <v>131</v>
      </c>
      <c r="C68" s="42" t="s">
        <v>132</v>
      </c>
      <c r="D68" s="34"/>
      <c r="E68" s="35" t="s">
        <v>124</v>
      </c>
      <c r="F68" s="36">
        <v>52</v>
      </c>
      <c r="G68" s="35" t="s">
        <v>138</v>
      </c>
      <c r="H68" s="35" t="s">
        <v>139</v>
      </c>
      <c r="I68" s="37" t="s">
        <v>170</v>
      </c>
      <c r="J68" s="42">
        <v>44742</v>
      </c>
      <c r="K68" s="35" t="s">
        <v>124</v>
      </c>
      <c r="L68" s="15"/>
      <c r="M68" s="37" t="s">
        <v>173</v>
      </c>
      <c r="N68" s="38">
        <v>0.5</v>
      </c>
      <c r="O68" s="15"/>
      <c r="P68" s="15"/>
    </row>
    <row r="69" spans="1:16" ht="15.5" x14ac:dyDescent="0.35">
      <c r="B69" s="8"/>
      <c r="C69" s="8"/>
      <c r="D69" s="7"/>
      <c r="E69" s="8"/>
      <c r="F69" s="13"/>
      <c r="G69" s="8"/>
      <c r="H69" s="8"/>
    </row>
    <row r="70" spans="1:16" ht="15.5" x14ac:dyDescent="0.35">
      <c r="B70" s="8"/>
      <c r="C70" s="8"/>
      <c r="D70" s="7"/>
      <c r="E70" s="8"/>
      <c r="F70" s="13"/>
      <c r="G70" s="8"/>
      <c r="H70" s="8"/>
    </row>
    <row r="71" spans="1:16" ht="15.5" x14ac:dyDescent="0.35">
      <c r="B71" s="8"/>
      <c r="C71" s="8"/>
      <c r="D71" s="7"/>
      <c r="E71" s="8"/>
      <c r="F71" s="13"/>
      <c r="G71" s="8"/>
      <c r="H71" s="8"/>
    </row>
    <row r="72" spans="1:16" ht="15.5" x14ac:dyDescent="0.35">
      <c r="B72" s="8"/>
      <c r="C72" s="8"/>
      <c r="D72" s="7"/>
      <c r="E72" s="8"/>
      <c r="F72" s="13"/>
      <c r="G72" s="8"/>
      <c r="H72" s="8"/>
    </row>
    <row r="73" spans="1:16" ht="15.5" x14ac:dyDescent="0.35">
      <c r="B73" s="8"/>
      <c r="C73" s="8"/>
      <c r="D73" s="9"/>
      <c r="E73" s="8"/>
      <c r="F73" s="13"/>
      <c r="G73" s="8"/>
      <c r="H73" s="8"/>
    </row>
    <row r="74" spans="1:16" ht="15.5" x14ac:dyDescent="0.35">
      <c r="B74" s="8"/>
      <c r="C74" s="8"/>
      <c r="D74" s="9"/>
      <c r="E74" s="8"/>
      <c r="F74" s="13"/>
      <c r="G74" s="8"/>
      <c r="H74" s="8"/>
    </row>
    <row r="75" spans="1:16" ht="15.5" x14ac:dyDescent="0.35">
      <c r="B75" s="8"/>
      <c r="C75" s="8"/>
      <c r="D75" s="9"/>
      <c r="E75" s="8"/>
      <c r="F75" s="13"/>
      <c r="G75" s="8"/>
      <c r="H75" s="8"/>
    </row>
    <row r="76" spans="1:16" ht="15.5" x14ac:dyDescent="0.35">
      <c r="B76" s="8"/>
      <c r="C76" s="8"/>
      <c r="D76" s="9"/>
      <c r="E76" s="8"/>
      <c r="F76" s="13"/>
      <c r="G76" s="8"/>
      <c r="H76" s="8"/>
    </row>
    <row r="77" spans="1:16" ht="15.5" x14ac:dyDescent="0.35">
      <c r="B77" s="8"/>
      <c r="C77" s="8"/>
      <c r="D77" s="9"/>
      <c r="E77" s="8"/>
      <c r="F77" s="13"/>
      <c r="G77" s="8"/>
      <c r="H77" s="8"/>
    </row>
    <row r="78" spans="1:16" ht="15.5" x14ac:dyDescent="0.35">
      <c r="B78" s="8"/>
      <c r="C78" s="8"/>
      <c r="D78" s="9"/>
      <c r="E78" s="8"/>
      <c r="F78" s="13"/>
      <c r="G78" s="8"/>
      <c r="H78" s="8"/>
    </row>
    <row r="79" spans="1:16" ht="15.5" x14ac:dyDescent="0.35">
      <c r="B79" s="8"/>
      <c r="C79" s="8"/>
      <c r="D79" s="9"/>
      <c r="E79" s="8"/>
      <c r="F79" s="13"/>
      <c r="G79" s="8"/>
      <c r="H79" s="8"/>
    </row>
    <row r="80" spans="1:16" ht="15.5" x14ac:dyDescent="0.35">
      <c r="B80" s="8"/>
      <c r="C80" s="8"/>
      <c r="D80" s="9"/>
      <c r="E80" s="8"/>
      <c r="F80" s="13"/>
      <c r="G80" s="8"/>
      <c r="H80" s="8"/>
    </row>
    <row r="81" spans="2:8" ht="15.5" x14ac:dyDescent="0.35">
      <c r="B81" s="8"/>
      <c r="C81" s="8"/>
      <c r="D81" s="9"/>
      <c r="E81" s="8"/>
      <c r="F81" s="13"/>
      <c r="G81" s="8"/>
      <c r="H81" s="8"/>
    </row>
    <row r="82" spans="2:8" ht="15.5" x14ac:dyDescent="0.35">
      <c r="B82" s="8"/>
      <c r="C82" s="8"/>
      <c r="D82" s="9"/>
      <c r="E82" s="8"/>
      <c r="F82" s="13"/>
      <c r="G82" s="8"/>
      <c r="H82" s="8"/>
    </row>
    <row r="83" spans="2:8" ht="15.5" x14ac:dyDescent="0.35">
      <c r="B83" s="8"/>
      <c r="C83" s="8"/>
      <c r="D83" s="9"/>
      <c r="E83" s="8"/>
      <c r="F83" s="13"/>
      <c r="G83" s="8"/>
      <c r="H83" s="8"/>
    </row>
    <row r="84" spans="2:8" ht="15.5" x14ac:dyDescent="0.35">
      <c r="B84" s="8"/>
      <c r="C84" s="8"/>
      <c r="D84" s="9"/>
      <c r="E84" s="8"/>
      <c r="F84" s="13"/>
      <c r="G84" s="8"/>
      <c r="H84" s="8"/>
    </row>
    <row r="85" spans="2:8" ht="15.5" x14ac:dyDescent="0.35">
      <c r="B85" s="8"/>
      <c r="C85" s="8"/>
      <c r="D85" s="9"/>
      <c r="E85" s="8"/>
      <c r="F85" s="13"/>
      <c r="G85" s="8"/>
      <c r="H85" s="8"/>
    </row>
    <row r="86" spans="2:8" ht="15.5" x14ac:dyDescent="0.35">
      <c r="B86" s="8"/>
      <c r="C86" s="8"/>
      <c r="D86" s="9"/>
      <c r="E86" s="8"/>
      <c r="F86" s="13"/>
      <c r="G86" s="8"/>
      <c r="H86" s="8"/>
    </row>
    <row r="87" spans="2:8" ht="15.5" x14ac:dyDescent="0.35">
      <c r="B87" s="8"/>
      <c r="C87" s="8"/>
      <c r="D87" s="9"/>
      <c r="E87" s="8"/>
      <c r="F87" s="13"/>
      <c r="G87" s="8"/>
      <c r="H87" s="8"/>
    </row>
    <row r="88" spans="2:8" ht="15.5" x14ac:dyDescent="0.35">
      <c r="B88" s="8"/>
      <c r="C88" s="8"/>
      <c r="D88" s="9"/>
      <c r="E88" s="8"/>
      <c r="F88" s="13"/>
      <c r="G88" s="8"/>
      <c r="H88" s="8"/>
    </row>
    <row r="89" spans="2:8" ht="15.5" x14ac:dyDescent="0.35">
      <c r="B89" s="8"/>
      <c r="C89" s="8"/>
      <c r="D89" s="9"/>
      <c r="E89" s="8"/>
      <c r="F89" s="13"/>
      <c r="G89" s="8"/>
      <c r="H89" s="8"/>
    </row>
    <row r="90" spans="2:8" ht="15.5" x14ac:dyDescent="0.35">
      <c r="B90" s="8"/>
      <c r="C90" s="8"/>
      <c r="D90" s="9"/>
      <c r="E90" s="8"/>
      <c r="F90" s="13"/>
      <c r="G90" s="8"/>
      <c r="H90" s="8"/>
    </row>
    <row r="91" spans="2:8" ht="15.5" x14ac:dyDescent="0.35">
      <c r="B91" s="8"/>
      <c r="C91" s="8"/>
      <c r="D91" s="9"/>
      <c r="E91" s="8"/>
      <c r="F91" s="13"/>
      <c r="G91" s="8"/>
      <c r="H91" s="8"/>
    </row>
    <row r="92" spans="2:8" ht="15.5" x14ac:dyDescent="0.35">
      <c r="B92" s="8"/>
      <c r="C92" s="8"/>
      <c r="D92" s="9"/>
      <c r="E92" s="8"/>
      <c r="F92" s="13"/>
      <c r="G92" s="8"/>
      <c r="H92" s="8"/>
    </row>
    <row r="93" spans="2:8" ht="15.5" x14ac:dyDescent="0.35">
      <c r="B93" s="8"/>
      <c r="C93" s="8"/>
      <c r="D93" s="9"/>
      <c r="E93" s="8"/>
      <c r="F93" s="13"/>
      <c r="G93" s="8"/>
      <c r="H93" s="8"/>
    </row>
    <row r="94" spans="2:8" ht="15.5" x14ac:dyDescent="0.35">
      <c r="B94" s="8"/>
      <c r="C94" s="8"/>
      <c r="D94" s="9"/>
      <c r="E94" s="8"/>
      <c r="F94" s="13"/>
      <c r="G94" s="8"/>
      <c r="H94" s="8"/>
    </row>
    <row r="95" spans="2:8" ht="15.5" x14ac:dyDescent="0.35">
      <c r="B95" s="8"/>
      <c r="C95" s="8"/>
      <c r="D95" s="9"/>
      <c r="E95" s="8"/>
      <c r="F95" s="13"/>
      <c r="G95" s="8"/>
      <c r="H95" s="8"/>
    </row>
    <row r="96" spans="2:8" ht="14.25" customHeight="1" x14ac:dyDescent="0.35">
      <c r="B96" s="8"/>
      <c r="C96" s="8"/>
      <c r="D96" s="9"/>
      <c r="E96" s="8"/>
      <c r="F96" s="13"/>
      <c r="G96" s="8"/>
      <c r="H96" s="8"/>
    </row>
    <row r="97" spans="2:8" ht="14.25" customHeight="1" x14ac:dyDescent="0.35">
      <c r="B97" s="8"/>
      <c r="C97" s="8"/>
      <c r="D97" s="9"/>
      <c r="E97" s="8"/>
      <c r="F97" s="13"/>
      <c r="G97" s="8"/>
      <c r="H97" s="8"/>
    </row>
    <row r="98" spans="2:8" ht="14.25" customHeight="1" x14ac:dyDescent="0.35">
      <c r="B98" s="8"/>
      <c r="C98" s="8"/>
      <c r="D98" s="9"/>
      <c r="E98" s="8"/>
      <c r="F98" s="13"/>
      <c r="G98" s="8"/>
      <c r="H98" s="8"/>
    </row>
    <row r="99" spans="2:8" ht="14.25" customHeight="1" x14ac:dyDescent="0.35">
      <c r="B99" s="8"/>
      <c r="C99" s="8"/>
      <c r="D99" s="9"/>
      <c r="E99" s="8"/>
      <c r="F99" s="13"/>
      <c r="G99" s="8"/>
      <c r="H99" s="8"/>
    </row>
    <row r="100" spans="2:8" ht="14.25" customHeight="1" x14ac:dyDescent="0.35">
      <c r="B100" s="8"/>
      <c r="C100" s="8"/>
      <c r="D100" s="9"/>
      <c r="E100" s="8"/>
      <c r="F100" s="13"/>
      <c r="G100" s="8"/>
      <c r="H100" s="8"/>
    </row>
    <row r="101" spans="2:8" ht="14.25" customHeight="1" x14ac:dyDescent="0.35">
      <c r="B101" s="8"/>
      <c r="C101" s="8"/>
      <c r="D101" s="9"/>
      <c r="E101" s="8"/>
      <c r="F101" s="13"/>
      <c r="G101" s="8"/>
      <c r="H101" s="8"/>
    </row>
    <row r="102" spans="2:8" ht="14.25" customHeight="1" x14ac:dyDescent="0.35">
      <c r="B102" s="8"/>
      <c r="C102" s="8"/>
      <c r="D102" s="9"/>
      <c r="E102" s="8"/>
      <c r="F102" s="13"/>
      <c r="G102" s="8"/>
      <c r="H102" s="8"/>
    </row>
    <row r="103" spans="2:8" ht="14.25" customHeight="1" x14ac:dyDescent="0.35">
      <c r="B103" s="8"/>
      <c r="C103" s="8"/>
      <c r="D103" s="9"/>
      <c r="E103" s="8"/>
      <c r="F103" s="13"/>
      <c r="G103" s="8"/>
      <c r="H103" s="8"/>
    </row>
    <row r="104" spans="2:8" ht="14.25" customHeight="1" x14ac:dyDescent="0.35">
      <c r="B104" s="8"/>
      <c r="C104" s="8"/>
      <c r="D104" s="9"/>
      <c r="E104" s="8"/>
      <c r="F104" s="13"/>
      <c r="G104" s="8"/>
      <c r="H104" s="8"/>
    </row>
    <row r="105" spans="2:8" ht="14.25" customHeight="1" x14ac:dyDescent="0.35">
      <c r="B105" s="8"/>
      <c r="C105" s="8"/>
      <c r="D105" s="9"/>
      <c r="E105" s="8"/>
      <c r="F105" s="13"/>
      <c r="G105" s="8"/>
      <c r="H105" s="8"/>
    </row>
    <row r="106" spans="2:8" ht="14.25" customHeight="1" x14ac:dyDescent="0.35">
      <c r="B106" s="8"/>
      <c r="C106" s="8"/>
      <c r="D106" s="9"/>
      <c r="E106" s="8"/>
      <c r="F106" s="13"/>
      <c r="G106" s="8"/>
      <c r="H106" s="8"/>
    </row>
    <row r="107" spans="2:8" ht="14.25" customHeight="1" x14ac:dyDescent="0.35">
      <c r="B107" s="8"/>
      <c r="C107" s="8"/>
      <c r="D107" s="9"/>
      <c r="E107" s="8"/>
      <c r="F107" s="13"/>
      <c r="G107" s="8"/>
      <c r="H107" s="8"/>
    </row>
    <row r="108" spans="2:8" ht="14.25" customHeight="1" x14ac:dyDescent="0.35">
      <c r="B108" s="8"/>
      <c r="C108" s="8"/>
      <c r="D108" s="9"/>
      <c r="E108" s="8"/>
      <c r="F108" s="13"/>
      <c r="G108" s="8"/>
      <c r="H108" s="8"/>
    </row>
    <row r="109" spans="2:8" ht="14.25" customHeight="1" x14ac:dyDescent="0.35">
      <c r="B109" s="8"/>
      <c r="C109" s="8"/>
      <c r="D109" s="9"/>
      <c r="E109" s="8"/>
      <c r="F109" s="13"/>
      <c r="G109" s="8"/>
      <c r="H109" s="8"/>
    </row>
    <row r="110" spans="2:8" ht="14.25" customHeight="1" x14ac:dyDescent="0.35">
      <c r="B110" s="8"/>
      <c r="C110" s="8"/>
      <c r="D110" s="9"/>
      <c r="E110" s="8"/>
      <c r="F110" s="13"/>
      <c r="G110" s="8"/>
      <c r="H110" s="8"/>
    </row>
    <row r="111" spans="2:8" ht="14.25" customHeight="1" x14ac:dyDescent="0.35">
      <c r="B111" s="8"/>
      <c r="C111" s="8"/>
      <c r="D111" s="9"/>
      <c r="E111" s="8"/>
      <c r="F111" s="13"/>
      <c r="G111" s="8"/>
      <c r="H111" s="8"/>
    </row>
    <row r="112" spans="2:8" ht="14.25" customHeight="1" x14ac:dyDescent="0.35">
      <c r="B112" s="8"/>
      <c r="C112" s="8"/>
      <c r="D112" s="9"/>
      <c r="E112" s="8"/>
      <c r="F112" s="13"/>
      <c r="G112" s="8"/>
      <c r="H112" s="8"/>
    </row>
    <row r="113" spans="2:8" ht="14.25" customHeight="1" x14ac:dyDescent="0.35">
      <c r="B113" s="8"/>
      <c r="C113" s="8"/>
      <c r="D113" s="9"/>
      <c r="E113" s="8"/>
      <c r="F113" s="13"/>
      <c r="G113" s="8"/>
      <c r="H113" s="8"/>
    </row>
    <row r="114" spans="2:8" ht="14.25" customHeight="1" x14ac:dyDescent="0.35">
      <c r="B114" s="8"/>
      <c r="C114" s="8"/>
      <c r="D114" s="9"/>
      <c r="E114" s="8"/>
      <c r="F114" s="13"/>
      <c r="G114" s="8"/>
      <c r="H114" s="8"/>
    </row>
    <row r="115" spans="2:8" ht="14.25" customHeight="1" x14ac:dyDescent="0.35">
      <c r="B115" s="8"/>
      <c r="C115" s="8"/>
      <c r="D115" s="9"/>
      <c r="E115" s="8"/>
      <c r="F115" s="13"/>
      <c r="G115" s="8"/>
      <c r="H115" s="8"/>
    </row>
    <row r="116" spans="2:8" ht="14.25" customHeight="1" x14ac:dyDescent="0.35">
      <c r="B116" s="8"/>
      <c r="C116" s="8"/>
      <c r="D116" s="9"/>
      <c r="E116" s="8"/>
      <c r="F116" s="13"/>
      <c r="G116" s="8"/>
      <c r="H116" s="8"/>
    </row>
    <row r="117" spans="2:8" ht="14.25" customHeight="1" x14ac:dyDescent="0.35">
      <c r="B117" s="8"/>
      <c r="C117" s="8"/>
      <c r="D117" s="9"/>
      <c r="E117" s="8"/>
      <c r="F117" s="13"/>
      <c r="G117" s="8"/>
      <c r="H117" s="8"/>
    </row>
    <row r="118" spans="2:8" ht="14.25" customHeight="1" x14ac:dyDescent="0.35">
      <c r="B118" s="8"/>
      <c r="C118" s="8"/>
      <c r="D118" s="9"/>
      <c r="E118" s="8"/>
      <c r="F118" s="13"/>
      <c r="G118" s="8"/>
      <c r="H118" s="8"/>
    </row>
    <row r="119" spans="2:8" ht="14.25" customHeight="1" x14ac:dyDescent="0.35">
      <c r="B119" s="8"/>
      <c r="C119" s="8"/>
      <c r="D119" s="9"/>
      <c r="E119" s="8"/>
      <c r="F119" s="13"/>
      <c r="G119" s="8"/>
      <c r="H119" s="8"/>
    </row>
    <row r="120" spans="2:8" ht="14.25" customHeight="1" x14ac:dyDescent="0.35">
      <c r="B120" s="8"/>
      <c r="C120" s="8"/>
      <c r="D120" s="9"/>
      <c r="E120" s="8"/>
      <c r="F120" s="13"/>
      <c r="G120" s="8"/>
      <c r="H120" s="8"/>
    </row>
    <row r="121" spans="2:8" ht="14.25" customHeight="1" x14ac:dyDescent="0.35">
      <c r="B121" s="8"/>
      <c r="C121" s="8"/>
      <c r="D121" s="9"/>
      <c r="E121" s="8"/>
      <c r="F121" s="13"/>
      <c r="G121" s="8"/>
      <c r="H121" s="8"/>
    </row>
    <row r="122" spans="2:8" ht="14.25" customHeight="1" x14ac:dyDescent="0.35">
      <c r="B122" s="8"/>
      <c r="C122" s="8"/>
      <c r="D122" s="9"/>
      <c r="E122" s="8"/>
      <c r="F122" s="13"/>
      <c r="G122" s="8"/>
      <c r="H122" s="8"/>
    </row>
    <row r="123" spans="2:8" ht="14.25" customHeight="1" x14ac:dyDescent="0.35">
      <c r="B123" s="8"/>
      <c r="C123" s="8"/>
      <c r="D123" s="9"/>
      <c r="E123" s="8"/>
      <c r="F123" s="13"/>
      <c r="G123" s="8"/>
      <c r="H123" s="8"/>
    </row>
    <row r="124" spans="2:8" ht="14.25" customHeight="1" x14ac:dyDescent="0.35">
      <c r="B124" s="8"/>
      <c r="C124" s="8"/>
      <c r="D124" s="9"/>
      <c r="E124" s="8"/>
      <c r="F124" s="13"/>
      <c r="G124" s="8"/>
      <c r="H124" s="8"/>
    </row>
    <row r="125" spans="2:8" ht="14.25" customHeight="1" x14ac:dyDescent="0.35">
      <c r="B125" s="8"/>
      <c r="C125" s="8"/>
      <c r="D125" s="9"/>
      <c r="E125" s="8"/>
      <c r="F125" s="13"/>
      <c r="G125" s="8"/>
      <c r="H125" s="8"/>
    </row>
    <row r="126" spans="2:8" ht="14.25" customHeight="1" x14ac:dyDescent="0.35">
      <c r="B126" s="8"/>
      <c r="C126" s="8"/>
      <c r="D126" s="9"/>
      <c r="E126" s="8"/>
      <c r="F126" s="13"/>
      <c r="G126" s="8"/>
      <c r="H126" s="8"/>
    </row>
    <row r="127" spans="2:8" ht="14.25" customHeight="1" x14ac:dyDescent="0.35">
      <c r="B127" s="8"/>
      <c r="C127" s="8"/>
      <c r="D127" s="9"/>
      <c r="E127" s="8"/>
      <c r="F127" s="13"/>
      <c r="G127" s="8"/>
      <c r="H127" s="8"/>
    </row>
    <row r="128" spans="2:8" ht="14.25" customHeight="1" x14ac:dyDescent="0.35">
      <c r="B128" s="8"/>
      <c r="C128" s="8"/>
      <c r="D128" s="9"/>
      <c r="E128" s="8"/>
      <c r="F128" s="13"/>
      <c r="G128" s="8"/>
      <c r="H128" s="8"/>
    </row>
    <row r="129" spans="2:8" ht="14.25" customHeight="1" x14ac:dyDescent="0.35">
      <c r="B129" s="8"/>
      <c r="C129" s="8"/>
      <c r="D129" s="9"/>
      <c r="E129" s="8"/>
      <c r="F129" s="13"/>
      <c r="G129" s="8"/>
      <c r="H129" s="8"/>
    </row>
    <row r="130" spans="2:8" ht="14.25" customHeight="1" x14ac:dyDescent="0.35">
      <c r="B130" s="8"/>
      <c r="C130" s="8"/>
      <c r="D130" s="9"/>
      <c r="E130" s="8"/>
      <c r="F130" s="13"/>
      <c r="G130" s="8"/>
      <c r="H130" s="8"/>
    </row>
    <row r="131" spans="2:8" ht="14.25" customHeight="1" x14ac:dyDescent="0.35">
      <c r="B131" s="8"/>
      <c r="C131" s="8"/>
      <c r="D131" s="9"/>
      <c r="E131" s="8"/>
      <c r="F131" s="13"/>
      <c r="G131" s="8"/>
      <c r="H131" s="8"/>
    </row>
    <row r="132" spans="2:8" ht="14.25" customHeight="1" x14ac:dyDescent="0.35">
      <c r="B132" s="8"/>
      <c r="C132" s="8"/>
      <c r="D132" s="9"/>
      <c r="E132" s="8"/>
      <c r="F132" s="13"/>
      <c r="G132" s="8"/>
      <c r="H132" s="8"/>
    </row>
    <row r="133" spans="2:8" ht="14.25" customHeight="1" x14ac:dyDescent="0.35">
      <c r="B133" s="8"/>
      <c r="C133" s="8"/>
      <c r="D133" s="9"/>
      <c r="E133" s="8"/>
      <c r="F133" s="13"/>
      <c r="G133" s="8"/>
      <c r="H133" s="8"/>
    </row>
    <row r="134" spans="2:8" ht="14.25" customHeight="1" x14ac:dyDescent="0.35">
      <c r="B134" s="8"/>
      <c r="C134" s="8"/>
      <c r="D134" s="9"/>
      <c r="E134" s="8"/>
      <c r="F134" s="13"/>
      <c r="G134" s="8"/>
      <c r="H134" s="8"/>
    </row>
    <row r="135" spans="2:8" ht="14.25" customHeight="1" x14ac:dyDescent="0.35">
      <c r="B135" s="8"/>
      <c r="C135" s="8"/>
      <c r="D135" s="9"/>
      <c r="E135" s="8"/>
      <c r="F135" s="13"/>
      <c r="G135" s="8"/>
      <c r="H135" s="8"/>
    </row>
    <row r="136" spans="2:8" ht="14.25" customHeight="1" x14ac:dyDescent="0.35">
      <c r="B136" s="8"/>
      <c r="C136" s="8"/>
      <c r="D136" s="9"/>
      <c r="E136" s="8"/>
      <c r="F136" s="13"/>
      <c r="G136" s="8"/>
      <c r="H136" s="8"/>
    </row>
    <row r="137" spans="2:8" ht="14.25" customHeight="1" x14ac:dyDescent="0.35">
      <c r="B137" s="8"/>
      <c r="C137" s="8"/>
      <c r="D137" s="9"/>
      <c r="E137" s="8"/>
      <c r="F137" s="13"/>
      <c r="G137" s="8"/>
      <c r="H137" s="8"/>
    </row>
    <row r="138" spans="2:8" ht="14.25" customHeight="1" x14ac:dyDescent="0.35">
      <c r="B138" s="8"/>
      <c r="C138" s="8"/>
      <c r="D138" s="9"/>
      <c r="E138" s="8"/>
      <c r="F138" s="13"/>
      <c r="G138" s="8"/>
      <c r="H138" s="8"/>
    </row>
    <row r="139" spans="2:8" ht="14.25" customHeight="1" x14ac:dyDescent="0.35">
      <c r="B139" s="8"/>
      <c r="C139" s="8"/>
      <c r="D139" s="9"/>
      <c r="E139" s="8"/>
      <c r="F139" s="13"/>
      <c r="G139" s="8"/>
      <c r="H139" s="8"/>
    </row>
    <row r="140" spans="2:8" ht="14.25" customHeight="1" x14ac:dyDescent="0.35">
      <c r="B140" s="8"/>
      <c r="C140" s="8"/>
      <c r="D140" s="9"/>
      <c r="E140" s="8"/>
      <c r="F140" s="13"/>
      <c r="G140" s="8"/>
      <c r="H140" s="8"/>
    </row>
    <row r="141" spans="2:8" ht="14.25" customHeight="1" x14ac:dyDescent="0.35">
      <c r="B141" s="8"/>
      <c r="C141" s="8"/>
      <c r="D141" s="9"/>
      <c r="E141" s="8"/>
      <c r="F141" s="13"/>
      <c r="G141" s="8"/>
      <c r="H141" s="8"/>
    </row>
    <row r="142" spans="2:8" ht="14.25" customHeight="1" x14ac:dyDescent="0.35">
      <c r="B142" s="8"/>
      <c r="C142" s="8"/>
      <c r="D142" s="9"/>
      <c r="E142" s="8"/>
      <c r="F142" s="13"/>
      <c r="G142" s="8"/>
      <c r="H142" s="8"/>
    </row>
    <row r="143" spans="2:8" ht="14.25" customHeight="1" x14ac:dyDescent="0.35">
      <c r="B143" s="8"/>
      <c r="C143" s="8"/>
      <c r="D143" s="9"/>
      <c r="E143" s="8"/>
      <c r="F143" s="13"/>
      <c r="G143" s="8"/>
      <c r="H143" s="8"/>
    </row>
    <row r="144" spans="2:8" ht="14.25" customHeight="1" x14ac:dyDescent="0.35">
      <c r="B144" s="8"/>
      <c r="C144" s="8"/>
      <c r="D144" s="9"/>
      <c r="E144" s="8"/>
      <c r="F144" s="13"/>
      <c r="G144" s="8"/>
      <c r="H144" s="8"/>
    </row>
    <row r="145" spans="2:8" ht="14.25" customHeight="1" x14ac:dyDescent="0.35">
      <c r="B145" s="8"/>
      <c r="C145" s="8"/>
      <c r="D145" s="9"/>
      <c r="E145" s="8"/>
      <c r="F145" s="13"/>
      <c r="G145" s="8"/>
      <c r="H145" s="8"/>
    </row>
    <row r="146" spans="2:8" ht="14.25" customHeight="1" x14ac:dyDescent="0.35">
      <c r="B146" s="8"/>
      <c r="C146" s="8"/>
      <c r="D146" s="9"/>
      <c r="E146" s="8"/>
      <c r="F146" s="13"/>
      <c r="G146" s="8"/>
      <c r="H146" s="8"/>
    </row>
    <row r="147" spans="2:8" ht="14.25" customHeight="1" x14ac:dyDescent="0.35">
      <c r="B147" s="8"/>
      <c r="C147" s="8"/>
      <c r="D147" s="9"/>
      <c r="E147" s="8"/>
      <c r="F147" s="13"/>
      <c r="G147" s="8"/>
      <c r="H147" s="8"/>
    </row>
    <row r="148" spans="2:8" ht="14.25" customHeight="1" x14ac:dyDescent="0.35">
      <c r="B148" s="8"/>
      <c r="C148" s="8"/>
      <c r="D148" s="9"/>
      <c r="E148" s="8"/>
      <c r="F148" s="13"/>
      <c r="G148" s="8"/>
      <c r="H148" s="8"/>
    </row>
    <row r="149" spans="2:8" ht="14.25" customHeight="1" x14ac:dyDescent="0.35">
      <c r="B149" s="8"/>
      <c r="C149" s="8"/>
      <c r="D149" s="9"/>
      <c r="E149" s="8"/>
      <c r="F149" s="13"/>
      <c r="G149" s="8"/>
      <c r="H149" s="8"/>
    </row>
    <row r="150" spans="2:8" ht="14.25" customHeight="1" x14ac:dyDescent="0.35">
      <c r="B150" s="8"/>
      <c r="C150" s="8"/>
      <c r="D150" s="9"/>
      <c r="E150" s="8"/>
      <c r="F150" s="13"/>
      <c r="G150" s="8"/>
      <c r="H150" s="8"/>
    </row>
    <row r="151" spans="2:8" ht="14.25" customHeight="1" x14ac:dyDescent="0.35">
      <c r="B151" s="8"/>
      <c r="C151" s="8"/>
      <c r="D151" s="9"/>
      <c r="E151" s="8"/>
      <c r="F151" s="13"/>
      <c r="G151" s="8"/>
      <c r="H151" s="8"/>
    </row>
    <row r="152" spans="2:8" ht="14.25" customHeight="1" x14ac:dyDescent="0.35">
      <c r="B152" s="8"/>
      <c r="C152" s="8"/>
      <c r="D152" s="9"/>
      <c r="E152" s="8"/>
      <c r="F152" s="13"/>
      <c r="G152" s="8"/>
      <c r="H152" s="8"/>
    </row>
    <row r="153" spans="2:8" ht="14.25" customHeight="1" x14ac:dyDescent="0.35">
      <c r="B153" s="8"/>
      <c r="C153" s="8"/>
      <c r="D153" s="9"/>
      <c r="E153" s="8"/>
      <c r="F153" s="13"/>
      <c r="G153" s="8"/>
      <c r="H153" s="8"/>
    </row>
    <row r="154" spans="2:8" ht="14.25" customHeight="1" x14ac:dyDescent="0.35">
      <c r="B154" s="8"/>
      <c r="C154" s="8"/>
      <c r="D154" s="9"/>
      <c r="E154" s="8"/>
      <c r="F154" s="13"/>
      <c r="G154" s="8"/>
      <c r="H154" s="8"/>
    </row>
    <row r="155" spans="2:8" ht="14.25" customHeight="1" x14ac:dyDescent="0.35">
      <c r="B155" s="8"/>
      <c r="C155" s="8"/>
      <c r="D155" s="9"/>
      <c r="E155" s="8"/>
      <c r="F155" s="13"/>
      <c r="G155" s="8"/>
      <c r="H155" s="8"/>
    </row>
    <row r="156" spans="2:8" ht="14.25" customHeight="1" x14ac:dyDescent="0.35">
      <c r="B156" s="8"/>
      <c r="C156" s="8"/>
      <c r="D156" s="9"/>
      <c r="E156" s="8"/>
      <c r="F156" s="13"/>
      <c r="G156" s="8"/>
      <c r="H156" s="8"/>
    </row>
    <row r="157" spans="2:8" ht="14.25" customHeight="1" x14ac:dyDescent="0.35">
      <c r="B157" s="8"/>
      <c r="C157" s="8"/>
      <c r="D157" s="9"/>
      <c r="E157" s="8"/>
      <c r="F157" s="13"/>
      <c r="G157" s="8"/>
      <c r="H157" s="8"/>
    </row>
    <row r="158" spans="2:8" ht="14.25" customHeight="1" x14ac:dyDescent="0.35">
      <c r="B158" s="8"/>
      <c r="C158" s="8"/>
      <c r="D158" s="9"/>
      <c r="E158" s="8"/>
      <c r="F158" s="13"/>
      <c r="G158" s="8"/>
      <c r="H158" s="8"/>
    </row>
    <row r="159" spans="2:8" ht="14.25" customHeight="1" x14ac:dyDescent="0.35">
      <c r="B159" s="8"/>
      <c r="C159" s="8"/>
      <c r="D159" s="9"/>
      <c r="E159" s="8"/>
      <c r="F159" s="13"/>
      <c r="G159" s="8"/>
      <c r="H159" s="8"/>
    </row>
    <row r="160" spans="2:8" ht="14.25" customHeight="1" x14ac:dyDescent="0.35">
      <c r="B160" s="8"/>
      <c r="C160" s="8"/>
      <c r="D160" s="9"/>
      <c r="E160" s="8"/>
      <c r="F160" s="13"/>
      <c r="G160" s="8"/>
      <c r="H160" s="8"/>
    </row>
    <row r="161" spans="2:8" ht="14.25" customHeight="1" x14ac:dyDescent="0.35">
      <c r="B161" s="8"/>
      <c r="C161" s="8"/>
      <c r="D161" s="9"/>
      <c r="E161" s="8"/>
      <c r="F161" s="13"/>
      <c r="G161" s="8"/>
      <c r="H161" s="8"/>
    </row>
    <row r="162" spans="2:8" ht="14.25" customHeight="1" x14ac:dyDescent="0.35">
      <c r="B162" s="8"/>
      <c r="C162" s="8"/>
      <c r="D162" s="9"/>
      <c r="E162" s="8"/>
      <c r="F162" s="13"/>
      <c r="G162" s="8"/>
      <c r="H162" s="8"/>
    </row>
    <row r="163" spans="2:8" ht="14.25" customHeight="1" x14ac:dyDescent="0.35">
      <c r="B163" s="8"/>
      <c r="C163" s="8"/>
      <c r="D163" s="9"/>
      <c r="E163" s="8"/>
      <c r="F163" s="13"/>
      <c r="G163" s="8"/>
      <c r="H163" s="8"/>
    </row>
    <row r="164" spans="2:8" ht="14.25" customHeight="1" x14ac:dyDescent="0.35">
      <c r="B164" s="8"/>
      <c r="C164" s="8"/>
      <c r="D164" s="9"/>
      <c r="E164" s="8"/>
      <c r="F164" s="13"/>
      <c r="G164" s="8"/>
      <c r="H164" s="8"/>
    </row>
    <row r="165" spans="2:8" ht="14.25" customHeight="1" x14ac:dyDescent="0.35">
      <c r="B165" s="8"/>
      <c r="C165" s="8"/>
      <c r="D165" s="9"/>
      <c r="E165" s="8"/>
      <c r="F165" s="13"/>
      <c r="G165" s="8"/>
      <c r="H165" s="8"/>
    </row>
    <row r="166" spans="2:8" ht="14.25" customHeight="1" x14ac:dyDescent="0.35">
      <c r="B166" s="8"/>
      <c r="C166" s="8"/>
      <c r="D166" s="9"/>
      <c r="E166" s="8"/>
      <c r="F166" s="13"/>
      <c r="G166" s="8"/>
      <c r="H166" s="8"/>
    </row>
    <row r="167" spans="2:8" ht="14.25" customHeight="1" x14ac:dyDescent="0.35">
      <c r="B167" s="8"/>
      <c r="C167" s="8"/>
      <c r="D167" s="9"/>
      <c r="E167" s="8"/>
      <c r="F167" s="13"/>
      <c r="G167" s="8"/>
      <c r="H167" s="8"/>
    </row>
    <row r="168" spans="2:8" ht="14.25" customHeight="1" x14ac:dyDescent="0.35">
      <c r="B168" s="8"/>
      <c r="C168" s="8"/>
      <c r="D168" s="9"/>
      <c r="E168" s="8"/>
      <c r="F168" s="13"/>
      <c r="G168" s="8"/>
      <c r="H168" s="8"/>
    </row>
    <row r="169" spans="2:8" ht="14.25" customHeight="1" x14ac:dyDescent="0.35">
      <c r="B169" s="8"/>
      <c r="C169" s="8"/>
      <c r="D169" s="9"/>
      <c r="E169" s="8"/>
      <c r="F169" s="13"/>
      <c r="G169" s="8"/>
      <c r="H169" s="8"/>
    </row>
    <row r="170" spans="2:8" ht="14.25" customHeight="1" x14ac:dyDescent="0.35">
      <c r="B170" s="8"/>
      <c r="C170" s="8"/>
      <c r="D170" s="9"/>
      <c r="E170" s="8"/>
      <c r="F170" s="13"/>
      <c r="G170" s="8"/>
      <c r="H170" s="8"/>
    </row>
    <row r="171" spans="2:8" ht="14.25" customHeight="1" x14ac:dyDescent="0.35">
      <c r="B171" s="8"/>
      <c r="C171" s="8"/>
      <c r="D171" s="9"/>
      <c r="E171" s="8"/>
      <c r="F171" s="13"/>
      <c r="G171" s="8"/>
      <c r="H171" s="8"/>
    </row>
    <row r="172" spans="2:8" ht="14.25" customHeight="1" x14ac:dyDescent="0.35">
      <c r="B172" s="8"/>
      <c r="C172" s="8"/>
      <c r="D172" s="9"/>
      <c r="E172" s="8"/>
      <c r="F172" s="13"/>
      <c r="G172" s="8"/>
      <c r="H172" s="8"/>
    </row>
    <row r="173" spans="2:8" ht="14.25" customHeight="1" x14ac:dyDescent="0.35">
      <c r="B173" s="8"/>
      <c r="C173" s="8"/>
      <c r="D173" s="9"/>
      <c r="E173" s="8"/>
      <c r="F173" s="13"/>
      <c r="G173" s="8"/>
      <c r="H173" s="8"/>
    </row>
    <row r="174" spans="2:8" ht="14.25" customHeight="1" x14ac:dyDescent="0.35">
      <c r="B174" s="8"/>
      <c r="C174" s="8"/>
      <c r="D174" s="9"/>
      <c r="E174" s="8"/>
      <c r="F174" s="13"/>
      <c r="G174" s="8"/>
      <c r="H174" s="8"/>
    </row>
    <row r="175" spans="2:8" ht="14.25" customHeight="1" x14ac:dyDescent="0.35">
      <c r="B175" s="8"/>
      <c r="C175" s="8"/>
      <c r="D175" s="9"/>
      <c r="E175" s="8"/>
      <c r="F175" s="13"/>
      <c r="G175" s="8"/>
      <c r="H175" s="8"/>
    </row>
    <row r="176" spans="2:8" ht="14.25" customHeight="1" x14ac:dyDescent="0.35">
      <c r="B176" s="8"/>
      <c r="C176" s="8"/>
      <c r="D176" s="9"/>
      <c r="E176" s="8"/>
      <c r="F176" s="13"/>
      <c r="G176" s="8"/>
      <c r="H176" s="8"/>
    </row>
    <row r="177" spans="2:8" ht="14.25" customHeight="1" x14ac:dyDescent="0.35">
      <c r="B177" s="8"/>
      <c r="C177" s="8"/>
      <c r="D177" s="9"/>
      <c r="E177" s="8"/>
      <c r="F177" s="13"/>
      <c r="G177" s="8"/>
      <c r="H177" s="8"/>
    </row>
    <row r="178" spans="2:8" ht="14.25" customHeight="1" x14ac:dyDescent="0.35">
      <c r="B178" s="8"/>
      <c r="C178" s="8"/>
      <c r="D178" s="9"/>
      <c r="E178" s="8"/>
      <c r="F178" s="13"/>
      <c r="G178" s="8"/>
      <c r="H178" s="8"/>
    </row>
    <row r="179" spans="2:8" ht="14.25" customHeight="1" x14ac:dyDescent="0.35">
      <c r="B179" s="8"/>
      <c r="C179" s="8"/>
      <c r="D179" s="9"/>
      <c r="E179" s="8"/>
      <c r="F179" s="13"/>
      <c r="G179" s="8"/>
      <c r="H179" s="8"/>
    </row>
    <row r="180" spans="2:8" ht="14.25" customHeight="1" x14ac:dyDescent="0.35">
      <c r="B180" s="8"/>
      <c r="C180" s="8"/>
      <c r="D180" s="9"/>
      <c r="E180" s="8"/>
      <c r="F180" s="13"/>
      <c r="G180" s="8"/>
      <c r="H180" s="8"/>
    </row>
    <row r="181" spans="2:8" ht="14.25" customHeight="1" x14ac:dyDescent="0.35">
      <c r="B181" s="8"/>
      <c r="C181" s="8"/>
      <c r="D181" s="9"/>
      <c r="E181" s="8"/>
      <c r="F181" s="13"/>
      <c r="G181" s="8"/>
      <c r="H181" s="8"/>
    </row>
    <row r="182" spans="2:8" ht="14.25" customHeight="1" x14ac:dyDescent="0.35">
      <c r="B182" s="8"/>
      <c r="C182" s="8"/>
      <c r="D182" s="9"/>
      <c r="E182" s="8"/>
      <c r="F182" s="13"/>
      <c r="G182" s="8"/>
      <c r="H182" s="8"/>
    </row>
    <row r="183" spans="2:8" ht="14.25" customHeight="1" x14ac:dyDescent="0.35">
      <c r="B183" s="8"/>
      <c r="C183" s="8"/>
      <c r="D183" s="9"/>
      <c r="E183" s="8"/>
      <c r="F183" s="13"/>
      <c r="G183" s="8"/>
      <c r="H183" s="8"/>
    </row>
    <row r="184" spans="2:8" ht="14.25" customHeight="1" x14ac:dyDescent="0.35">
      <c r="B184" s="8"/>
      <c r="C184" s="8"/>
      <c r="D184" s="9"/>
      <c r="E184" s="8"/>
      <c r="F184" s="13"/>
      <c r="G184" s="8"/>
      <c r="H184" s="8"/>
    </row>
    <row r="185" spans="2:8" ht="14.25" customHeight="1" x14ac:dyDescent="0.35">
      <c r="B185" s="8"/>
      <c r="C185" s="8"/>
      <c r="D185" s="9"/>
      <c r="E185" s="8"/>
      <c r="F185" s="13"/>
      <c r="G185" s="8"/>
      <c r="H185" s="8"/>
    </row>
    <row r="186" spans="2:8" ht="14.25" customHeight="1" x14ac:dyDescent="0.35">
      <c r="B186" s="8"/>
      <c r="C186" s="8"/>
      <c r="D186" s="9"/>
      <c r="E186" s="8"/>
      <c r="F186" s="13"/>
      <c r="G186" s="8"/>
      <c r="H186" s="8"/>
    </row>
    <row r="187" spans="2:8" ht="14.25" customHeight="1" x14ac:dyDescent="0.35">
      <c r="B187" s="8"/>
      <c r="C187" s="8"/>
      <c r="D187" s="9"/>
      <c r="E187" s="8"/>
      <c r="F187" s="13"/>
      <c r="G187" s="8"/>
      <c r="H187" s="8"/>
    </row>
    <row r="188" spans="2:8" ht="14.25" customHeight="1" x14ac:dyDescent="0.35">
      <c r="B188" s="8"/>
      <c r="C188" s="8"/>
      <c r="D188" s="9"/>
      <c r="E188" s="8"/>
      <c r="F188" s="13"/>
      <c r="G188" s="8"/>
      <c r="H188" s="8"/>
    </row>
    <row r="189" spans="2:8" ht="14.25" customHeight="1" x14ac:dyDescent="0.35">
      <c r="B189" s="8"/>
      <c r="C189" s="8"/>
      <c r="D189" s="9"/>
      <c r="E189" s="8"/>
      <c r="F189" s="13"/>
      <c r="G189" s="8"/>
      <c r="H189" s="8"/>
    </row>
    <row r="190" spans="2:8" ht="14.25" customHeight="1" x14ac:dyDescent="0.35">
      <c r="B190" s="8"/>
      <c r="C190" s="8"/>
      <c r="D190" s="9"/>
      <c r="E190" s="8"/>
      <c r="F190" s="13"/>
      <c r="G190" s="8"/>
      <c r="H190" s="8"/>
    </row>
    <row r="191" spans="2:8" ht="14.25" customHeight="1" x14ac:dyDescent="0.35">
      <c r="B191" s="8"/>
      <c r="C191" s="8"/>
      <c r="D191" s="9"/>
      <c r="E191" s="8"/>
      <c r="F191" s="13"/>
      <c r="G191" s="8"/>
      <c r="H191" s="8"/>
    </row>
    <row r="192" spans="2:8" ht="14.25" customHeight="1" x14ac:dyDescent="0.35">
      <c r="B192" s="8"/>
      <c r="C192" s="8"/>
      <c r="D192" s="9"/>
      <c r="E192" s="8"/>
      <c r="F192" s="13"/>
      <c r="G192" s="8"/>
      <c r="H192" s="8"/>
    </row>
    <row r="193" spans="2:8" ht="14.25" customHeight="1" x14ac:dyDescent="0.35">
      <c r="B193" s="8"/>
      <c r="C193" s="8"/>
      <c r="D193" s="9"/>
      <c r="E193" s="8"/>
      <c r="F193" s="13"/>
      <c r="G193" s="8"/>
      <c r="H193" s="8"/>
    </row>
  </sheetData>
  <phoneticPr fontId="8" type="noConversion"/>
  <dataValidations count="2">
    <dataValidation type="list" allowBlank="1" showInputMessage="1" showErrorMessage="1" sqref="I4:I68" xr:uid="{50A2C42A-EFD1-46E3-8972-96F0A3FC13E7}">
      <formula1>"مكتمل , جار التنفيذ , لم يبدأ"</formula1>
    </dataValidation>
    <dataValidation type="list" allowBlank="1" showInputMessage="1" showErrorMessage="1" sqref="M4:M68" xr:uid="{0B3DBF01-ADA6-4883-8CF6-BB2224E4225B}">
      <formula1>"عالية  ,متوسطة ,منخفضة"</formula1>
    </dataValidation>
  </dataValidations>
  <pageMargins left="0.7" right="0.7" top="0.75" bottom="0.75" header="0.511811023622047" footer="0.511811023622047"/>
  <pageSetup orientation="portrait" horizontalDpi="300" verticalDpi="3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34977-7312-4183-AE82-B50BD906AB73}">
  <dimension ref="B1:R35"/>
  <sheetViews>
    <sheetView rightToLeft="1" tabSelected="1" zoomScale="43" workbookViewId="0">
      <selection activeCell="H40" sqref="H40"/>
    </sheetView>
  </sheetViews>
  <sheetFormatPr defaultRowHeight="14.5" x14ac:dyDescent="0.35"/>
  <cols>
    <col min="1" max="1" width="2.08984375" customWidth="1"/>
  </cols>
  <sheetData>
    <row r="1" spans="2:18" ht="7.5" customHeight="1" thickBot="1" x14ac:dyDescent="0.4"/>
    <row r="2" spans="2:18" x14ac:dyDescent="0.35">
      <c r="B2" s="46"/>
      <c r="C2" s="47"/>
      <c r="D2" s="47"/>
      <c r="E2" s="47"/>
      <c r="F2" s="47"/>
      <c r="G2" s="47"/>
      <c r="H2" s="47"/>
      <c r="I2" s="47"/>
      <c r="J2" s="47"/>
      <c r="K2" s="47"/>
      <c r="L2" s="47"/>
      <c r="M2" s="47"/>
      <c r="N2" s="47"/>
      <c r="O2" s="47"/>
      <c r="P2" s="47"/>
      <c r="Q2" s="47"/>
      <c r="R2" s="48"/>
    </row>
    <row r="3" spans="2:18" ht="15.5" customHeight="1" x14ac:dyDescent="0.35">
      <c r="B3" s="49"/>
      <c r="C3" s="67" t="e">
        <f>"اجمالي التوصيات المكتملة:"&amp;CHAR(10)&amp;GETPIVOTDATA("رقم التوصية",'التوصيات حسب الحالة'!$A$3,"الحالة","مكتمل ")</f>
        <v>#REF!</v>
      </c>
      <c r="D3" s="50"/>
      <c r="E3" s="67" t="str">
        <f>"التوصيات قيد التنفيذ:"&amp;CHAR(10)&amp;GETPIVOTDATA("رقم التوصية",'التوصيات حسب الحالة'!$A$3,"الحالة","جار التنفيذ ")</f>
        <v>التوصيات قيد التنفيذ:
27</v>
      </c>
      <c r="F3" s="50"/>
      <c r="G3" s="50"/>
      <c r="H3" s="67" t="e">
        <f>"توصيات لم تبدا:"&amp;CHAR(10)&amp;GETPIVOTDATA("رقم التوصية",'التوصيات حسب الحالة'!$A$3,"الحالة","لم يبدأ")</f>
        <v>#REF!</v>
      </c>
      <c r="I3" s="50"/>
      <c r="J3" s="50"/>
      <c r="K3" s="68" t="str">
        <f>"نسبة الاكمال"&amp;CHAR(10)&amp;TEXT(GETPIVOTDATA("معدل الاكمال",'نسبة الاكمال'!$A$3)*100,"0.0") &amp; "%"</f>
        <v>نسبة الاكمال
62.9%</v>
      </c>
      <c r="L3" s="50"/>
      <c r="M3" s="69" t="str">
        <f>" اجمالي عدد التوصيات:"&amp;CHAR(10)&amp;SUM('التوصيات حسب الحالة'!B4:B6)</f>
        <v xml:space="preserve"> اجمالي عدد التوصيات:
27</v>
      </c>
      <c r="N3" s="50"/>
      <c r="O3" s="50"/>
      <c r="P3" s="50"/>
      <c r="Q3" s="50"/>
      <c r="R3" s="51"/>
    </row>
    <row r="4" spans="2:18" x14ac:dyDescent="0.35">
      <c r="B4" s="49"/>
      <c r="C4" s="50"/>
      <c r="D4" s="50"/>
      <c r="E4" s="50"/>
      <c r="F4" s="50"/>
      <c r="G4" s="50"/>
      <c r="H4" s="50"/>
      <c r="I4" s="50"/>
      <c r="J4" s="50"/>
      <c r="K4" s="50"/>
      <c r="L4" s="50"/>
      <c r="M4" s="50"/>
      <c r="N4" s="50"/>
      <c r="O4" s="50"/>
      <c r="P4" s="50"/>
      <c r="Q4" s="50"/>
      <c r="R4" s="51"/>
    </row>
    <row r="5" spans="2:18" x14ac:dyDescent="0.35">
      <c r="B5" s="49"/>
      <c r="C5" s="50"/>
      <c r="D5" s="50"/>
      <c r="E5" s="50"/>
      <c r="F5" s="50"/>
      <c r="G5" s="50"/>
      <c r="H5" s="50"/>
      <c r="I5" s="50"/>
      <c r="J5" s="50"/>
      <c r="K5" s="50"/>
      <c r="L5" s="50"/>
      <c r="M5" s="50"/>
      <c r="N5" s="50"/>
      <c r="O5" s="50"/>
      <c r="P5" s="50"/>
      <c r="Q5" s="50"/>
      <c r="R5" s="51"/>
    </row>
    <row r="6" spans="2:18" x14ac:dyDescent="0.35">
      <c r="B6" s="49"/>
      <c r="C6" s="50"/>
      <c r="D6" s="50"/>
      <c r="E6" s="50"/>
      <c r="F6" s="50"/>
      <c r="G6" s="50"/>
      <c r="H6" s="50"/>
      <c r="I6" s="50"/>
      <c r="J6" s="50"/>
      <c r="K6" s="50"/>
      <c r="L6" s="50"/>
      <c r="M6" s="50"/>
      <c r="N6" s="50"/>
      <c r="O6" s="50"/>
      <c r="P6" s="50"/>
      <c r="Q6" s="50"/>
      <c r="R6" s="51"/>
    </row>
    <row r="7" spans="2:18" x14ac:dyDescent="0.35">
      <c r="B7" s="49"/>
      <c r="C7" s="50"/>
      <c r="D7" s="50"/>
      <c r="E7" s="50"/>
      <c r="F7" s="50"/>
      <c r="G7" s="50"/>
      <c r="H7" s="50"/>
      <c r="I7" s="50"/>
      <c r="J7" s="50"/>
      <c r="K7" s="50"/>
      <c r="L7" s="50"/>
      <c r="M7" s="50"/>
      <c r="N7" s="50"/>
      <c r="O7" s="50"/>
      <c r="P7" s="50"/>
      <c r="Q7" s="50"/>
      <c r="R7" s="51"/>
    </row>
    <row r="8" spans="2:18" x14ac:dyDescent="0.35">
      <c r="B8" s="49"/>
      <c r="C8" s="50"/>
      <c r="D8" s="50"/>
      <c r="E8" s="50"/>
      <c r="F8" s="50"/>
      <c r="G8" s="50"/>
      <c r="H8" s="50"/>
      <c r="I8" s="50"/>
      <c r="J8" s="50"/>
      <c r="K8" s="50"/>
      <c r="L8" s="50"/>
      <c r="M8" s="50"/>
      <c r="N8" s="50"/>
      <c r="O8" s="50"/>
      <c r="P8" s="50"/>
      <c r="Q8" s="50"/>
      <c r="R8" s="51"/>
    </row>
    <row r="9" spans="2:18" x14ac:dyDescent="0.35">
      <c r="B9" s="49"/>
      <c r="C9" s="50"/>
      <c r="D9" s="50"/>
      <c r="E9" s="50"/>
      <c r="F9" s="50"/>
      <c r="G9" s="50"/>
      <c r="H9" s="50"/>
      <c r="I9" s="50"/>
      <c r="J9" s="50"/>
      <c r="K9" s="50"/>
      <c r="L9" s="50"/>
      <c r="M9" s="50"/>
      <c r="N9" s="50"/>
      <c r="O9" s="50"/>
      <c r="P9" s="50"/>
      <c r="Q9" s="50"/>
      <c r="R9" s="51"/>
    </row>
    <row r="10" spans="2:18" x14ac:dyDescent="0.35">
      <c r="B10" s="49"/>
      <c r="C10" s="50"/>
      <c r="D10" s="50"/>
      <c r="E10" s="50"/>
      <c r="F10" s="50"/>
      <c r="G10" s="50"/>
      <c r="H10" s="50"/>
      <c r="I10" s="50"/>
      <c r="J10" s="50"/>
      <c r="K10" s="50"/>
      <c r="L10" s="50"/>
      <c r="M10" s="50"/>
      <c r="N10" s="50"/>
      <c r="O10" s="50"/>
      <c r="P10" s="50"/>
      <c r="Q10" s="50"/>
      <c r="R10" s="51"/>
    </row>
    <row r="11" spans="2:18" x14ac:dyDescent="0.35">
      <c r="B11" s="49"/>
      <c r="C11" s="50"/>
      <c r="D11" s="50"/>
      <c r="E11" s="50"/>
      <c r="F11" s="50"/>
      <c r="G11" s="50"/>
      <c r="H11" s="50"/>
      <c r="I11" s="50"/>
      <c r="J11" s="50"/>
      <c r="K11" s="50"/>
      <c r="L11" s="50"/>
      <c r="M11" s="50"/>
      <c r="N11" s="50"/>
      <c r="O11" s="50"/>
      <c r="P11" s="50"/>
      <c r="Q11" s="50"/>
      <c r="R11" s="51"/>
    </row>
    <row r="12" spans="2:18" x14ac:dyDescent="0.35">
      <c r="B12" s="49"/>
      <c r="C12" s="50"/>
      <c r="D12" s="50"/>
      <c r="E12" s="50"/>
      <c r="F12" s="50"/>
      <c r="G12" s="50"/>
      <c r="H12" s="50"/>
      <c r="I12" s="50"/>
      <c r="J12" s="50"/>
      <c r="K12" s="50"/>
      <c r="L12" s="50"/>
      <c r="M12" s="50"/>
      <c r="N12" s="50"/>
      <c r="O12" s="50"/>
      <c r="P12" s="50"/>
      <c r="Q12" s="50"/>
      <c r="R12" s="51"/>
    </row>
    <row r="13" spans="2:18" x14ac:dyDescent="0.35">
      <c r="B13" s="49"/>
      <c r="C13" s="50"/>
      <c r="D13" s="50"/>
      <c r="E13" s="50"/>
      <c r="F13" s="50"/>
      <c r="G13" s="50"/>
      <c r="H13" s="50"/>
      <c r="I13" s="50"/>
      <c r="J13" s="50"/>
      <c r="K13" s="50"/>
      <c r="L13" s="50"/>
      <c r="M13" s="50"/>
      <c r="N13" s="50"/>
      <c r="O13" s="50"/>
      <c r="P13" s="50"/>
      <c r="Q13" s="50"/>
      <c r="R13" s="51"/>
    </row>
    <row r="14" spans="2:18" x14ac:dyDescent="0.35">
      <c r="B14" s="49"/>
      <c r="C14" s="50"/>
      <c r="D14" s="50"/>
      <c r="E14" s="50"/>
      <c r="F14" s="50"/>
      <c r="G14" s="50"/>
      <c r="H14" s="50"/>
      <c r="I14" s="50"/>
      <c r="J14" s="50"/>
      <c r="K14" s="50"/>
      <c r="L14" s="50"/>
      <c r="M14" s="50"/>
      <c r="N14" s="50"/>
      <c r="O14" s="50"/>
      <c r="P14" s="50"/>
      <c r="Q14" s="50"/>
      <c r="R14" s="51"/>
    </row>
    <row r="15" spans="2:18" x14ac:dyDescent="0.35">
      <c r="B15" s="49"/>
      <c r="C15" s="50"/>
      <c r="D15" s="50"/>
      <c r="E15" s="50"/>
      <c r="F15" s="50"/>
      <c r="G15" s="50"/>
      <c r="H15" s="50"/>
      <c r="I15" s="50"/>
      <c r="J15" s="50"/>
      <c r="K15" s="50"/>
      <c r="L15" s="50"/>
      <c r="M15" s="50"/>
      <c r="N15" s="50"/>
      <c r="O15" s="50"/>
      <c r="P15" s="50"/>
      <c r="Q15" s="50"/>
      <c r="R15" s="51"/>
    </row>
    <row r="16" spans="2:18" x14ac:dyDescent="0.35">
      <c r="B16" s="49"/>
      <c r="C16" s="50"/>
      <c r="D16" s="50"/>
      <c r="E16" s="50"/>
      <c r="F16" s="50"/>
      <c r="G16" s="50"/>
      <c r="H16" s="50"/>
      <c r="I16" s="50"/>
      <c r="J16" s="50"/>
      <c r="K16" s="50"/>
      <c r="L16" s="50"/>
      <c r="M16" s="50"/>
      <c r="N16" s="50"/>
      <c r="O16" s="50"/>
      <c r="P16" s="50"/>
      <c r="Q16" s="50"/>
      <c r="R16" s="51"/>
    </row>
    <row r="17" spans="2:18" x14ac:dyDescent="0.35">
      <c r="B17" s="49"/>
      <c r="C17" s="50"/>
      <c r="D17" s="50"/>
      <c r="E17" s="50"/>
      <c r="F17" s="50"/>
      <c r="G17" s="50"/>
      <c r="H17" s="50"/>
      <c r="I17" s="50"/>
      <c r="J17" s="50"/>
      <c r="K17" s="50"/>
      <c r="L17" s="50"/>
      <c r="M17" s="50"/>
      <c r="N17" s="50"/>
      <c r="O17" s="50"/>
      <c r="P17" s="50"/>
      <c r="Q17" s="50"/>
      <c r="R17" s="51"/>
    </row>
    <row r="18" spans="2:18" x14ac:dyDescent="0.35">
      <c r="B18" s="49"/>
      <c r="C18" s="50"/>
      <c r="D18" s="50"/>
      <c r="E18" s="50"/>
      <c r="F18" s="50"/>
      <c r="G18" s="50"/>
      <c r="H18" s="50"/>
      <c r="I18" s="50"/>
      <c r="J18" s="50"/>
      <c r="K18" s="50"/>
      <c r="L18" s="50"/>
      <c r="M18" s="50"/>
      <c r="N18" s="50"/>
      <c r="O18" s="50"/>
      <c r="P18" s="50"/>
      <c r="Q18" s="50"/>
      <c r="R18" s="51"/>
    </row>
    <row r="19" spans="2:18" x14ac:dyDescent="0.35">
      <c r="B19" s="49"/>
      <c r="C19" s="50"/>
      <c r="D19" s="50"/>
      <c r="E19" s="50"/>
      <c r="F19" s="50"/>
      <c r="G19" s="50"/>
      <c r="H19" s="50"/>
      <c r="I19" s="50"/>
      <c r="J19" s="50"/>
      <c r="K19" s="50"/>
      <c r="L19" s="50"/>
      <c r="M19" s="50"/>
      <c r="N19" s="50"/>
      <c r="O19" s="50"/>
      <c r="P19" s="50"/>
      <c r="Q19" s="50"/>
      <c r="R19" s="51"/>
    </row>
    <row r="20" spans="2:18" x14ac:dyDescent="0.35">
      <c r="B20" s="49"/>
      <c r="C20" s="50"/>
      <c r="D20" s="50"/>
      <c r="E20" s="50"/>
      <c r="F20" s="50"/>
      <c r="G20" s="50"/>
      <c r="H20" s="50"/>
      <c r="I20" s="50"/>
      <c r="J20" s="50"/>
      <c r="K20" s="50"/>
      <c r="L20" s="50"/>
      <c r="M20" s="50"/>
      <c r="N20" s="50"/>
      <c r="O20" s="50"/>
      <c r="P20" s="50"/>
      <c r="Q20" s="50"/>
      <c r="R20" s="51"/>
    </row>
    <row r="21" spans="2:18" x14ac:dyDescent="0.35">
      <c r="B21" s="49"/>
      <c r="C21" s="50"/>
      <c r="D21" s="50"/>
      <c r="E21" s="50"/>
      <c r="F21" s="50"/>
      <c r="G21" s="50"/>
      <c r="H21" s="50"/>
      <c r="I21" s="50"/>
      <c r="J21" s="50"/>
      <c r="K21" s="50"/>
      <c r="L21" s="50"/>
      <c r="M21" s="50"/>
      <c r="N21" s="50"/>
      <c r="O21" s="50"/>
      <c r="P21" s="50"/>
      <c r="Q21" s="50"/>
      <c r="R21" s="51"/>
    </row>
    <row r="22" spans="2:18" x14ac:dyDescent="0.35">
      <c r="B22" s="49"/>
      <c r="C22" s="50"/>
      <c r="D22" s="50"/>
      <c r="E22" s="50"/>
      <c r="F22" s="50"/>
      <c r="G22" s="50"/>
      <c r="H22" s="50"/>
      <c r="I22" s="50"/>
      <c r="J22" s="50"/>
      <c r="K22" s="50"/>
      <c r="L22" s="50"/>
      <c r="M22" s="50"/>
      <c r="N22" s="50"/>
      <c r="O22" s="50"/>
      <c r="P22" s="50"/>
      <c r="Q22" s="50"/>
      <c r="R22" s="51"/>
    </row>
    <row r="23" spans="2:18" x14ac:dyDescent="0.35">
      <c r="B23" s="49"/>
      <c r="C23" s="50"/>
      <c r="D23" s="50"/>
      <c r="E23" s="50"/>
      <c r="F23" s="50"/>
      <c r="G23" s="50"/>
      <c r="H23" s="50"/>
      <c r="I23" s="50"/>
      <c r="J23" s="50"/>
      <c r="K23" s="50"/>
      <c r="L23" s="50"/>
      <c r="M23" s="50"/>
      <c r="N23" s="50"/>
      <c r="O23" s="50"/>
      <c r="P23" s="50"/>
      <c r="Q23" s="50"/>
      <c r="R23" s="51"/>
    </row>
    <row r="24" spans="2:18" x14ac:dyDescent="0.35">
      <c r="B24" s="49"/>
      <c r="C24" s="50"/>
      <c r="D24" s="50"/>
      <c r="E24" s="50"/>
      <c r="F24" s="50"/>
      <c r="G24" s="50"/>
      <c r="H24" s="50"/>
      <c r="I24" s="50"/>
      <c r="J24" s="50"/>
      <c r="K24" s="50"/>
      <c r="L24" s="50"/>
      <c r="M24" s="50"/>
      <c r="N24" s="50"/>
      <c r="O24" s="50"/>
      <c r="P24" s="50"/>
      <c r="Q24" s="50"/>
      <c r="R24" s="51"/>
    </row>
    <row r="25" spans="2:18" x14ac:dyDescent="0.35">
      <c r="B25" s="49"/>
      <c r="C25" s="50"/>
      <c r="D25" s="50"/>
      <c r="E25" s="50"/>
      <c r="F25" s="50"/>
      <c r="G25" s="50"/>
      <c r="H25" s="50"/>
      <c r="I25" s="50"/>
      <c r="J25" s="50"/>
      <c r="K25" s="50"/>
      <c r="L25" s="50"/>
      <c r="M25" s="50"/>
      <c r="N25" s="50"/>
      <c r="O25" s="50"/>
      <c r="P25" s="50"/>
      <c r="Q25" s="50"/>
      <c r="R25" s="51"/>
    </row>
    <row r="26" spans="2:18" x14ac:dyDescent="0.35">
      <c r="B26" s="49"/>
      <c r="C26" s="50"/>
      <c r="D26" s="50"/>
      <c r="E26" s="50"/>
      <c r="F26" s="50"/>
      <c r="G26" s="50"/>
      <c r="H26" s="50"/>
      <c r="I26" s="50"/>
      <c r="J26" s="50"/>
      <c r="K26" s="50"/>
      <c r="L26" s="50"/>
      <c r="M26" s="50"/>
      <c r="N26" s="50"/>
      <c r="O26" s="50"/>
      <c r="P26" s="50"/>
      <c r="Q26" s="50"/>
      <c r="R26" s="51"/>
    </row>
    <row r="27" spans="2:18" x14ac:dyDescent="0.35">
      <c r="B27" s="49"/>
      <c r="C27" s="50"/>
      <c r="D27" s="50"/>
      <c r="E27" s="50"/>
      <c r="F27" s="50"/>
      <c r="G27" s="50"/>
      <c r="H27" s="50"/>
      <c r="I27" s="50"/>
      <c r="J27" s="50"/>
      <c r="K27" s="50"/>
      <c r="L27" s="50"/>
      <c r="M27" s="50"/>
      <c r="N27" s="50"/>
      <c r="O27" s="50"/>
      <c r="P27" s="50"/>
      <c r="Q27" s="50"/>
      <c r="R27" s="51"/>
    </row>
    <row r="28" spans="2:18" x14ac:dyDescent="0.35">
      <c r="B28" s="49"/>
      <c r="C28" s="50"/>
      <c r="D28" s="50"/>
      <c r="E28" s="50"/>
      <c r="F28" s="50"/>
      <c r="G28" s="50"/>
      <c r="H28" s="50"/>
      <c r="I28" s="50"/>
      <c r="J28" s="50"/>
      <c r="K28" s="50"/>
      <c r="L28" s="50"/>
      <c r="M28" s="50"/>
      <c r="N28" s="50"/>
      <c r="O28" s="50"/>
      <c r="P28" s="50"/>
      <c r="Q28" s="50"/>
      <c r="R28" s="51"/>
    </row>
    <row r="29" spans="2:18" x14ac:dyDescent="0.35">
      <c r="B29" s="49"/>
      <c r="C29" s="50"/>
      <c r="D29" s="50"/>
      <c r="E29" s="50"/>
      <c r="F29" s="50"/>
      <c r="G29" s="50"/>
      <c r="H29" s="50"/>
      <c r="I29" s="50"/>
      <c r="J29" s="50"/>
      <c r="K29" s="50"/>
      <c r="L29" s="50"/>
      <c r="M29" s="50"/>
      <c r="N29" s="50"/>
      <c r="O29" s="50"/>
      <c r="P29" s="50"/>
      <c r="Q29" s="50"/>
      <c r="R29" s="51"/>
    </row>
    <row r="30" spans="2:18" x14ac:dyDescent="0.35">
      <c r="B30" s="49"/>
      <c r="C30" s="50"/>
      <c r="D30" s="50"/>
      <c r="E30" s="50"/>
      <c r="F30" s="50"/>
      <c r="G30" s="50"/>
      <c r="H30" s="50"/>
      <c r="I30" s="50"/>
      <c r="J30" s="50"/>
      <c r="K30" s="50"/>
      <c r="L30" s="50"/>
      <c r="M30" s="50"/>
      <c r="N30" s="50"/>
      <c r="O30" s="50"/>
      <c r="P30" s="50"/>
      <c r="Q30" s="50"/>
      <c r="R30" s="51"/>
    </row>
    <row r="31" spans="2:18" x14ac:dyDescent="0.35">
      <c r="B31" s="49"/>
      <c r="C31" s="50"/>
      <c r="D31" s="50"/>
      <c r="E31" s="50"/>
      <c r="F31" s="50"/>
      <c r="G31" s="50"/>
      <c r="H31" s="50"/>
      <c r="I31" s="50"/>
      <c r="J31" s="50"/>
      <c r="K31" s="50"/>
      <c r="L31" s="50"/>
      <c r="M31" s="50"/>
      <c r="N31" s="50"/>
      <c r="O31" s="50"/>
      <c r="P31" s="50"/>
      <c r="Q31" s="50"/>
      <c r="R31" s="51"/>
    </row>
    <row r="32" spans="2:18" x14ac:dyDescent="0.35">
      <c r="B32" s="49"/>
      <c r="C32" s="50"/>
      <c r="D32" s="50"/>
      <c r="E32" s="50"/>
      <c r="F32" s="50"/>
      <c r="G32" s="50"/>
      <c r="H32" s="50"/>
      <c r="I32" s="50"/>
      <c r="J32" s="50"/>
      <c r="K32" s="50"/>
      <c r="L32" s="50"/>
      <c r="M32" s="50"/>
      <c r="N32" s="50"/>
      <c r="O32" s="50"/>
      <c r="P32" s="50"/>
      <c r="Q32" s="50"/>
      <c r="R32" s="51"/>
    </row>
    <row r="33" spans="2:18" x14ac:dyDescent="0.35">
      <c r="B33" s="49"/>
      <c r="C33" s="50"/>
      <c r="D33" s="50"/>
      <c r="E33" s="50"/>
      <c r="F33" s="50"/>
      <c r="G33" s="50"/>
      <c r="H33" s="50"/>
      <c r="I33" s="50"/>
      <c r="J33" s="50"/>
      <c r="K33" s="50"/>
      <c r="L33" s="50"/>
      <c r="M33" s="50"/>
      <c r="N33" s="50"/>
      <c r="O33" s="50"/>
      <c r="P33" s="50"/>
      <c r="Q33" s="50"/>
      <c r="R33" s="51"/>
    </row>
    <row r="34" spans="2:18" x14ac:dyDescent="0.35">
      <c r="B34" s="49"/>
      <c r="C34" s="50"/>
      <c r="D34" s="50"/>
      <c r="E34" s="50"/>
      <c r="F34" s="50"/>
      <c r="G34" s="50"/>
      <c r="H34" s="50"/>
      <c r="I34" s="50"/>
      <c r="J34" s="50"/>
      <c r="K34" s="50"/>
      <c r="L34" s="50"/>
      <c r="M34" s="50"/>
      <c r="N34" s="50"/>
      <c r="O34" s="50"/>
      <c r="P34" s="50"/>
      <c r="Q34" s="50"/>
      <c r="R34" s="51"/>
    </row>
    <row r="35" spans="2:18" ht="15" thickBot="1" x14ac:dyDescent="0.4">
      <c r="B35" s="52"/>
      <c r="C35" s="53"/>
      <c r="D35" s="53"/>
      <c r="E35" s="53"/>
      <c r="F35" s="53"/>
      <c r="G35" s="53"/>
      <c r="H35" s="53"/>
      <c r="I35" s="53"/>
      <c r="J35" s="53"/>
      <c r="K35" s="53"/>
      <c r="L35" s="53"/>
      <c r="M35" s="53"/>
      <c r="N35" s="53"/>
      <c r="O35" s="53"/>
      <c r="P35" s="53"/>
      <c r="Q35" s="53"/>
      <c r="R35" s="5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rightToLeft="1" zoomScaleNormal="100" workbookViewId="0">
      <selection activeCell="B12" sqref="B12"/>
    </sheetView>
  </sheetViews>
  <sheetFormatPr defaultColWidth="8.54296875" defaultRowHeight="14.25" customHeight="1" x14ac:dyDescent="0.35"/>
  <cols>
    <col min="1" max="1" width="32.81640625" customWidth="1"/>
    <col min="2" max="2" width="11.453125" customWidth="1"/>
    <col min="3" max="3" width="34" customWidth="1"/>
    <col min="4" max="4" width="61.453125" customWidth="1"/>
  </cols>
  <sheetData>
    <row r="1" spans="1:4" ht="14.5" x14ac:dyDescent="0.35">
      <c r="A1" s="1" t="s">
        <v>3</v>
      </c>
      <c r="B1" s="1" t="s">
        <v>4</v>
      </c>
      <c r="C1" s="1" t="s">
        <v>5</v>
      </c>
      <c r="D1" s="1" t="s">
        <v>6</v>
      </c>
    </row>
    <row r="2" spans="1:4" ht="29.25" customHeight="1" x14ac:dyDescent="0.35">
      <c r="A2" s="2" t="s">
        <v>12</v>
      </c>
      <c r="B2" s="2">
        <v>1</v>
      </c>
      <c r="C2" s="2" t="s">
        <v>13</v>
      </c>
      <c r="D2" s="2" t="s">
        <v>14</v>
      </c>
    </row>
    <row r="3" spans="1:4" ht="29" x14ac:dyDescent="0.35">
      <c r="A3" s="3" t="s">
        <v>35</v>
      </c>
      <c r="B3" s="3">
        <v>2</v>
      </c>
      <c r="C3" s="3" t="s">
        <v>140</v>
      </c>
      <c r="D3" s="3" t="s">
        <v>37</v>
      </c>
    </row>
    <row r="4" spans="1:4" ht="29" x14ac:dyDescent="0.35">
      <c r="A4" s="4" t="s">
        <v>42</v>
      </c>
      <c r="B4" s="4">
        <v>5</v>
      </c>
      <c r="C4" s="4" t="s">
        <v>141</v>
      </c>
      <c r="D4" s="4" t="s">
        <v>44</v>
      </c>
    </row>
    <row r="5" spans="1:4" ht="29" x14ac:dyDescent="0.35">
      <c r="A5" s="5" t="s">
        <v>47</v>
      </c>
      <c r="B5" s="5">
        <v>7</v>
      </c>
      <c r="C5" s="5" t="s">
        <v>142</v>
      </c>
      <c r="D5" s="5" t="s">
        <v>49</v>
      </c>
    </row>
    <row r="6" spans="1:4" ht="29" x14ac:dyDescent="0.35">
      <c r="A6" s="6" t="s">
        <v>50</v>
      </c>
      <c r="B6" s="6">
        <v>8</v>
      </c>
      <c r="C6" s="6" t="s">
        <v>143</v>
      </c>
      <c r="D6" s="6" t="s">
        <v>144</v>
      </c>
    </row>
  </sheetData>
  <pageMargins left="0.7" right="0.7" top="0.75" bottom="0.75" header="0.511811023622047" footer="0.511811023622047"/>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D2EFC6-0D91-477C-A5CC-C622EFD915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38</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عدد التوصيات حسب الادارة</vt:lpstr>
      <vt:lpstr>التوصيات حسب الحالة</vt:lpstr>
      <vt:lpstr>عدد التوصيات حسب الاولوية</vt:lpstr>
      <vt:lpstr>نسبة الاكمال</vt:lpstr>
      <vt:lpstr>الخط الزمني</vt:lpstr>
      <vt:lpstr>البيانات</vt:lpstr>
      <vt:lpstr>Dashboard</vt:lpstr>
      <vt:lpstr>Sheet2</vt:lpstr>
      <vt:lpstr>Dashboard!Print_Area</vt:lpstr>
      <vt:lpstr>Table3</vt:lpstr>
      <vt:lpstr>البيانات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ghanim almohamadi</dc:creator>
  <dc:description/>
  <cp:lastModifiedBy>youssef abdlhamed</cp:lastModifiedBy>
  <cp:revision>4</cp:revision>
  <dcterms:created xsi:type="dcterms:W3CDTF">2025-04-26T14:24:08Z</dcterms:created>
  <dcterms:modified xsi:type="dcterms:W3CDTF">2025-08-01T12:37:00Z</dcterms:modified>
  <dc:language>en-US</dc:language>
</cp:coreProperties>
</file>